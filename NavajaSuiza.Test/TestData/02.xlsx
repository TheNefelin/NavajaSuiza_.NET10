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Minecraft" sheetId="1" state="visible" r:id="rId3"/>
    <sheet name="FFXVBD" sheetId="2" state="visible" r:id="rId4"/>
    <sheet name="FFXV" sheetId="3" state="visible" r:id="rId5"/>
    <sheet name="MHW" sheetId="4" state="visible" r:id="rId6"/>
    <sheet name="Horizon" sheetId="5" state="visible" r:id="rId7"/>
    <sheet name="MGSV" sheetId="6" state="visible" r:id="rId8"/>
    <sheet name="DQXI" sheetId="7" state="visible" r:id="rId9"/>
    <sheet name="TW3" sheetId="8" state="visible" r:id="rId10"/>
    <sheet name="Division 2" sheetId="9" state="visible" r:id="rId11"/>
    <sheet name="Remnant" sheetId="10" state="visible" r:id="rId12"/>
    <sheet name="Kingdom of Amalur" sheetId="11" state="visible" r:id="rId13"/>
    <sheet name="Darksiders 2" sheetId="12" state="visible" r:id="rId14"/>
  </sheets>
  <definedNames>
    <definedName function="false" hidden="true" localSheetId="6" name="_xlnm._FilterDatabase" vbProcedure="false">DQXI!$A$1:$B$218</definedName>
    <definedName function="false" hidden="false" name="BD_Armas" vbProcedure="false">FFXVBD!$A$152:$T$293</definedName>
    <definedName function="false" hidden="false" name="BD_Items" vbProcedure="false">FFXVBD!$A$17:$T$95</definedName>
    <definedName function="false" hidden="false" name="FT" vbProcedure="false">FFXVBD!$V$3:$W$13</definedName>
    <definedName function="false" hidden="false" localSheetId="6" name="_xlnm._FilterDatabase_0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<sst xmlns="http://schemas.openxmlformats.org/spreadsheetml/2006/main" count="2149" uniqueCount="730">
  <si>
    <t xml:space="preserve">Encantamientos/Herramienta</t>
  </si>
  <si>
    <t xml:space="preserve">Casco </t>
  </si>
  <si>
    <t xml:space="preserve">Peto</t>
  </si>
  <si>
    <t xml:space="preserve">Piernas</t>
  </si>
  <si>
    <t xml:space="preserve">Botas</t>
  </si>
  <si>
    <t xml:space="preserve">Espada</t>
  </si>
  <si>
    <t xml:space="preserve">Hacha</t>
  </si>
  <si>
    <t xml:space="preserve">Pica</t>
  </si>
  <si>
    <t xml:space="preserve">Pala</t>
  </si>
  <si>
    <t xml:space="preserve">Tijera</t>
  </si>
  <si>
    <t xml:space="preserve">Caña</t>
  </si>
  <si>
    <t xml:space="preserve">Escudo</t>
  </si>
  <si>
    <t xml:space="preserve">Azadón</t>
  </si>
  <si>
    <t xml:space="preserve">Arco</t>
  </si>
  <si>
    <t xml:space="preserve">Tridente</t>
  </si>
  <si>
    <t xml:space="preserve">Protección  IV</t>
  </si>
  <si>
    <t xml:space="preserve">x</t>
  </si>
  <si>
    <t xml:space="preserve">Protección  Fuego IV</t>
  </si>
  <si>
    <t xml:space="preserve">enchant JebusNefelin unbreaking 3 </t>
  </si>
  <si>
    <t xml:space="preserve">Irrompibilidad</t>
  </si>
  <si>
    <t xml:space="preserve">Caída de pluma IV</t>
  </si>
  <si>
    <t xml:space="preserve">enchant JebusNefelin mending 1 </t>
  </si>
  <si>
    <t xml:space="preserve">Reparacion</t>
  </si>
  <si>
    <t xml:space="preserve">Protección explosiones IV</t>
  </si>
  <si>
    <t xml:space="preserve">enchant JebusNefelin luck_of_the_sea 3</t>
  </si>
  <si>
    <t xml:space="preserve">Fortuna Marina</t>
  </si>
  <si>
    <t xml:space="preserve">Protección proyectiles IV</t>
  </si>
  <si>
    <t xml:space="preserve">enchant JebusNefelin lure 3</t>
  </si>
  <si>
    <t xml:space="preserve">Señuelo</t>
  </si>
  <si>
    <t xml:space="preserve">Respiración III</t>
  </si>
  <si>
    <t xml:space="preserve">Afinidad acuática I</t>
  </si>
  <si>
    <t xml:space="preserve">Espinas III</t>
  </si>
  <si>
    <t xml:space="preserve">enchant JebusNefelin unbreaking 3</t>
  </si>
  <si>
    <t xml:space="preserve">Agilidad acuática III</t>
  </si>
  <si>
    <t xml:space="preserve">enchant JebusNefelin mending 1</t>
  </si>
  <si>
    <t xml:space="preserve">Paso helado II</t>
  </si>
  <si>
    <t xml:space="preserve">enchant JebusNefelin power 5</t>
  </si>
  <si>
    <t xml:space="preserve">Poder</t>
  </si>
  <si>
    <t xml:space="preserve">Filo V</t>
  </si>
  <si>
    <t xml:space="preserve">enchant JebusNefelin punch 2</t>
  </si>
  <si>
    <t xml:space="preserve">Retroceso</t>
  </si>
  <si>
    <t xml:space="preserve">Castigo Golpeo Aporrear V</t>
  </si>
  <si>
    <t xml:space="preserve">enchant JebusNefelin flame 1</t>
  </si>
  <si>
    <t xml:space="preserve">Flecha Incendiaria</t>
  </si>
  <si>
    <t xml:space="preserve">Perdición de los artrópodos V</t>
  </si>
  <si>
    <t xml:space="preserve">enchant JebusNefelin infinity 1</t>
  </si>
  <si>
    <t xml:space="preserve">Infinidad</t>
  </si>
  <si>
    <t xml:space="preserve">Empuje / derribar II</t>
  </si>
  <si>
    <t xml:space="preserve">Aspecto ígneo II</t>
  </si>
  <si>
    <t xml:space="preserve">Botín Saqueo III</t>
  </si>
  <si>
    <t xml:space="preserve">Barrido Filo arrasador III</t>
  </si>
  <si>
    <t xml:space="preserve">Eficiencia V</t>
  </si>
  <si>
    <t xml:space="preserve">enchant JebusNefelin sharpness 5</t>
  </si>
  <si>
    <t xml:space="preserve">Filo</t>
  </si>
  <si>
    <t xml:space="preserve">Toque de seda I</t>
  </si>
  <si>
    <t xml:space="preserve">enchant JebusNefelin sweeping 3</t>
  </si>
  <si>
    <t xml:space="preserve">Filo Arrazador</t>
  </si>
  <si>
    <t xml:space="preserve">Irrompibilidad III</t>
  </si>
  <si>
    <t xml:space="preserve">enchant JebusNefelin knockback 2</t>
  </si>
  <si>
    <t xml:space="preserve">Empuje</t>
  </si>
  <si>
    <t xml:space="preserve">Fortuna III</t>
  </si>
  <si>
    <t xml:space="preserve">enchant JebusNefelin fire_aspect 2</t>
  </si>
  <si>
    <t xml:space="preserve">Aspecto Igneo</t>
  </si>
  <si>
    <t xml:space="preserve">Poder V</t>
  </si>
  <si>
    <t xml:space="preserve">enchant JebusNefelin looting 3</t>
  </si>
  <si>
    <t xml:space="preserve">Botín</t>
  </si>
  <si>
    <t xml:space="preserve">Retroceso II</t>
  </si>
  <si>
    <t xml:space="preserve">Fuego I</t>
  </si>
  <si>
    <t xml:space="preserve">Picota</t>
  </si>
  <si>
    <t xml:space="preserve">Infinidad I</t>
  </si>
  <si>
    <t xml:space="preserve">Suerte marina III</t>
  </si>
  <si>
    <t xml:space="preserve">Atracción III</t>
  </si>
  <si>
    <t xml:space="preserve">enchant JebusNefelin efficiency 5</t>
  </si>
  <si>
    <t xml:space="preserve">Eficiencia </t>
  </si>
  <si>
    <t xml:space="preserve">Lealtad III</t>
  </si>
  <si>
    <t xml:space="preserve">enchant JebusNefelin silk_touch 1</t>
  </si>
  <si>
    <t xml:space="preserve">Toque de seda</t>
  </si>
  <si>
    <t xml:space="preserve">Empalamiento V</t>
  </si>
  <si>
    <t xml:space="preserve">enchant JebusNefelin fortune 3</t>
  </si>
  <si>
    <t xml:space="preserve">Fortuna</t>
  </si>
  <si>
    <t xml:space="preserve">Corriente marina III</t>
  </si>
  <si>
    <t xml:space="preserve">Conductividad I</t>
  </si>
  <si>
    <t xml:space="preserve">Reparación I</t>
  </si>
  <si>
    <t xml:space="preserve">Elitros</t>
  </si>
  <si>
    <t xml:space="preserve">enchant JebusNefelin impaling 5</t>
  </si>
  <si>
    <t xml:space="preserve">Empalamiento</t>
  </si>
  <si>
    <t xml:space="preserve">enchant JebusNefelin channeling 1</t>
  </si>
  <si>
    <t xml:space="preserve">Conductividad</t>
  </si>
  <si>
    <t xml:space="preserve">enchant JebusNefelin loyalty 3</t>
  </si>
  <si>
    <t xml:space="preserve">Lealtad</t>
  </si>
  <si>
    <t xml:space="preserve">enchant JebusNefelin riptide 3</t>
  </si>
  <si>
    <t xml:space="preserve">Propulsión acuática / Corriente marina</t>
  </si>
  <si>
    <t xml:space="preserve">Casco</t>
  </si>
  <si>
    <t xml:space="preserve">enchant JebusNefelin protection 4</t>
  </si>
  <si>
    <t xml:space="preserve">Proteccion</t>
  </si>
  <si>
    <t xml:space="preserve">enchant JebusNefelin fire_protection 4</t>
  </si>
  <si>
    <t xml:space="preserve">Proteccion Fuego</t>
  </si>
  <si>
    <t xml:space="preserve">enchant JebusNefelin blast_protection 4</t>
  </si>
  <si>
    <t xml:space="preserve">Proteccion Explociones</t>
  </si>
  <si>
    <t xml:space="preserve">enchant JebusNefelin projectile_protection 4</t>
  </si>
  <si>
    <t xml:space="preserve">Proteccion Proyectiles</t>
  </si>
  <si>
    <t xml:space="preserve">enchant JebusNefelin thorns 3</t>
  </si>
  <si>
    <t xml:space="preserve">Espinas</t>
  </si>
  <si>
    <t xml:space="preserve">enchant JebusNefelin respiration 3</t>
  </si>
  <si>
    <t xml:space="preserve">Respiración</t>
  </si>
  <si>
    <t xml:space="preserve">enchant JebusNefelin aqua_affinity 1</t>
  </si>
  <si>
    <t xml:space="preserve">Afinidad acuática</t>
  </si>
  <si>
    <t xml:space="preserve">Pechera</t>
  </si>
  <si>
    <t xml:space="preserve">Pantalones</t>
  </si>
  <si>
    <t xml:space="preserve">enchant JebusNefelin depth_strider 3</t>
  </si>
  <si>
    <t xml:space="preserve">Agilidad acuática</t>
  </si>
  <si>
    <t xml:space="preserve">enchant JebusNefelin frost_walker 2</t>
  </si>
  <si>
    <t xml:space="preserve">Paso helado</t>
  </si>
  <si>
    <t xml:space="preserve">enchant JebusNefelin soul_speed 3</t>
  </si>
  <si>
    <t xml:space="preserve">Velocidad de alma</t>
  </si>
  <si>
    <t xml:space="preserve">enchant JebusNefelin feather_falling 4</t>
  </si>
  <si>
    <t xml:space="preserve">Caida Pluma</t>
  </si>
  <si>
    <t xml:space="preserve">Nombre</t>
  </si>
  <si>
    <t xml:space="preserve">Fuerza</t>
  </si>
  <si>
    <t xml:space="preserve">Exp</t>
  </si>
  <si>
    <t xml:space="preserve">Var</t>
  </si>
  <si>
    <t xml:space="preserve">Items</t>
  </si>
  <si>
    <t xml:space="preserve">Total Pts</t>
  </si>
  <si>
    <t xml:space="preserve">Total Exp</t>
  </si>
  <si>
    <t xml:space="preserve">VarVit</t>
  </si>
  <si>
    <t xml:space="preserve">VarPM</t>
  </si>
  <si>
    <t xml:space="preserve">VarF</t>
  </si>
  <si>
    <t xml:space="preserve">VarE</t>
  </si>
  <si>
    <t xml:space="preserve">VarP.Mag</t>
  </si>
  <si>
    <t xml:space="preserve">VarD.Mag</t>
  </si>
  <si>
    <t xml:space="preserve">Promedio</t>
  </si>
  <si>
    <t xml:space="preserve">R.F</t>
  </si>
  <si>
    <t xml:space="preserve">R.H</t>
  </si>
  <si>
    <t xml:space="preserve">R.Y</t>
  </si>
  <si>
    <t xml:space="preserve">R.O</t>
  </si>
  <si>
    <t xml:space="preserve">R.P</t>
  </si>
  <si>
    <t xml:space="preserve">Lvl</t>
  </si>
  <si>
    <t xml:space="preserve">Pts</t>
  </si>
  <si>
    <t xml:space="preserve">Filtro</t>
  </si>
  <si>
    <t xml:space="preserve">Columna</t>
  </si>
  <si>
    <t xml:space="preserve">Sensor Láser</t>
  </si>
  <si>
    <t xml:space="preserve">H30</t>
  </si>
  <si>
    <t xml:space="preserve">VIT</t>
  </si>
  <si>
    <t xml:space="preserve">Joya de Entereza</t>
  </si>
  <si>
    <t xml:space="preserve">H60</t>
  </si>
  <si>
    <t xml:space="preserve">PM</t>
  </si>
  <si>
    <t xml:space="preserve">Cuerno Hueco Curvo</t>
  </si>
  <si>
    <t xml:space="preserve">H99</t>
  </si>
  <si>
    <t xml:space="preserve">na</t>
  </si>
  <si>
    <t xml:space="preserve">H120</t>
  </si>
  <si>
    <t xml:space="preserve">Entere</t>
  </si>
  <si>
    <t xml:space="preserve">T120</t>
  </si>
  <si>
    <t xml:space="preserve">P. Mag</t>
  </si>
  <si>
    <t xml:space="preserve">D. Mag</t>
  </si>
  <si>
    <t xml:space="preserve">H50</t>
  </si>
  <si>
    <t xml:space="preserve">R. Fueg</t>
  </si>
  <si>
    <t xml:space="preserve">R. Hiel</t>
  </si>
  <si>
    <t xml:space="preserve">R. Ray</t>
  </si>
  <si>
    <t xml:space="preserve">R. Osc</t>
  </si>
  <si>
    <t xml:space="preserve">R. Proy</t>
  </si>
  <si>
    <t xml:space="preserve">Entereza</t>
  </si>
  <si>
    <t xml:space="preserve">Poder Magia</t>
  </si>
  <si>
    <t xml:space="preserve">Def. Magia</t>
  </si>
  <si>
    <t xml:space="preserve">Res. Fuego</t>
  </si>
  <si>
    <t xml:space="preserve">Res. Hielo</t>
  </si>
  <si>
    <t xml:space="preserve">Res. Rayo</t>
  </si>
  <si>
    <t xml:space="preserve">Res. Oscuri</t>
  </si>
  <si>
    <t xml:space="preserve">Res. Proyec</t>
  </si>
  <si>
    <t xml:space="preserve">Prom.</t>
  </si>
  <si>
    <t xml:space="preserve">P.O</t>
  </si>
  <si>
    <t xml:space="preserve">VarD</t>
  </si>
  <si>
    <t xml:space="preserve">VarDM</t>
  </si>
  <si>
    <t xml:space="preserve">Habilidad</t>
  </si>
  <si>
    <t xml:space="preserve">Linea</t>
  </si>
  <si>
    <t xml:space="preserve">Pagina</t>
  </si>
  <si>
    <t xml:space="preserve">Misión</t>
  </si>
  <si>
    <t xml:space="preserve">Kinagashi</t>
  </si>
  <si>
    <t xml:space="preserve">Urgente: Duendes</t>
  </si>
  <si>
    <t xml:space="preserve">Cuerno de Dragón</t>
  </si>
  <si>
    <t xml:space="preserve">Flaqueza X</t>
  </si>
  <si>
    <t xml:space="preserve">Urgente: Galimatazo 40</t>
  </si>
  <si>
    <t xml:space="preserve">Peroné Escarlata</t>
  </si>
  <si>
    <t xml:space="preserve">Potenciador de Trachyon II</t>
  </si>
  <si>
    <t xml:space="preserve">Batida: Ave Divina 37</t>
  </si>
  <si>
    <t xml:space="preserve">Octópedo</t>
  </si>
  <si>
    <t xml:space="preserve">Paso Lateral</t>
  </si>
  <si>
    <t xml:space="preserve">Urgente: El Zamarrajo Brutal 28</t>
  </si>
  <si>
    <t xml:space="preserve">Trapo Viejo</t>
  </si>
  <si>
    <t xml:space="preserve">Combosmosis II</t>
  </si>
  <si>
    <t xml:space="preserve">Defensa: Sin Rencores 44</t>
  </si>
  <si>
    <t xml:space="preserve">Lengua Carmesí</t>
  </si>
  <si>
    <t xml:space="preserve">Rompehuesos II</t>
  </si>
  <si>
    <t xml:space="preserve">Escolta: Mecánica en Camino 35</t>
  </si>
  <si>
    <t xml:space="preserve">Lagrima de Bégimo</t>
  </si>
  <si>
    <t xml:space="preserve">Rompe Defensas X</t>
  </si>
  <si>
    <t xml:space="preserve">Urgente: Begíclope 33</t>
  </si>
  <si>
    <t xml:space="preserve">Aguja Serrada</t>
  </si>
  <si>
    <t xml:space="preserve">Potenciador de Carga II</t>
  </si>
  <si>
    <t xml:space="preserve">Mandíbula de Monstruo</t>
  </si>
  <si>
    <t xml:space="preserve">Tela Antigua</t>
  </si>
  <si>
    <t xml:space="preserve">Barrera Protectora II</t>
  </si>
  <si>
    <t xml:space="preserve">Defensa: La Bruja de la Cabaña 28</t>
  </si>
  <si>
    <t xml:space="preserve">Bigotes Fuertes</t>
  </si>
  <si>
    <t xml:space="preserve">Potenciador de Frenesí X</t>
  </si>
  <si>
    <t xml:space="preserve">Piel Endurecida</t>
  </si>
  <si>
    <t xml:space="preserve">Garra Colorida de Grifo</t>
  </si>
  <si>
    <t xml:space="preserve">Última Oportunidad II</t>
  </si>
  <si>
    <t xml:space="preserve">Urgente Grifo</t>
  </si>
  <si>
    <t xml:space="preserve">Aguijón Venenoso</t>
  </si>
  <si>
    <t xml:space="preserve">Supremacía Aérea X</t>
  </si>
  <si>
    <t xml:space="preserve">Brazo Izquierdo Espantoso</t>
  </si>
  <si>
    <t xml:space="preserve">Centinela II</t>
  </si>
  <si>
    <t xml:space="preserve">Lengua de Sapo Gigante</t>
  </si>
  <si>
    <t xml:space="preserve">Última Oportunidad</t>
  </si>
  <si>
    <t xml:space="preserve">Tejido Necrótico</t>
  </si>
  <si>
    <t xml:space="preserve">Mucílago de Molbol</t>
  </si>
  <si>
    <t xml:space="preserve">Muerte Instantánea II</t>
  </si>
  <si>
    <t xml:space="preserve">Escama Puntiaguda Siniestra</t>
  </si>
  <si>
    <t xml:space="preserve">Fortaleza Norte</t>
  </si>
  <si>
    <t xml:space="preserve">Fortaleza Norte </t>
  </si>
  <si>
    <t xml:space="preserve">Pico de Zú</t>
  </si>
  <si>
    <t xml:space="preserve">Bigotes Divinos</t>
  </si>
  <si>
    <t xml:space="preserve">Magia Curativa: Defensa++</t>
  </si>
  <si>
    <t xml:space="preserve">Moneda Antigua</t>
  </si>
  <si>
    <t xml:space="preserve">Rematador II</t>
  </si>
  <si>
    <t xml:space="preserve">Colmillo de Dragón Arcano</t>
  </si>
  <si>
    <t xml:space="preserve">Aplastador X</t>
  </si>
  <si>
    <t xml:space="preserve">Púa Acorazada</t>
  </si>
  <si>
    <t xml:space="preserve">Magia Curativa: Defensa</t>
  </si>
  <si>
    <t xml:space="preserve">Aceite de Sapo Gigante</t>
  </si>
  <si>
    <t xml:space="preserve">Magia Curativa: Defensa+</t>
  </si>
  <si>
    <t xml:space="preserve">Ojo de Catoblepas</t>
  </si>
  <si>
    <t xml:space="preserve">Antimuerte</t>
  </si>
  <si>
    <t xml:space="preserve">Escama Azul de Serpiente Celeste</t>
  </si>
  <si>
    <t xml:space="preserve">Electro++</t>
  </si>
  <si>
    <t xml:space="preserve">Colmillo de Sierpe</t>
  </si>
  <si>
    <t xml:space="preserve">Combo de Proyección: Hielo</t>
  </si>
  <si>
    <t xml:space="preserve">Garra de Dragón</t>
  </si>
  <si>
    <t xml:space="preserve">Ataque Cargado: Expansión</t>
  </si>
  <si>
    <t xml:space="preserve">Aceite de Sapo</t>
  </si>
  <si>
    <t xml:space="preserve">Magia Curativa: Pura</t>
  </si>
  <si>
    <t xml:space="preserve">Espiralespinas de Jörmungandr</t>
  </si>
  <si>
    <t xml:space="preserve">Piro++</t>
  </si>
  <si>
    <t xml:space="preserve">Batida: Cadentes 60</t>
  </si>
  <si>
    <t xml:space="preserve">Potenciador de Carga X</t>
  </si>
  <si>
    <t xml:space="preserve">Tienda: Duscae</t>
  </si>
  <si>
    <t xml:space="preserve">Forja</t>
  </si>
  <si>
    <t xml:space="preserve">Joya de Fuerza</t>
  </si>
  <si>
    <t xml:space="preserve">Joya de Espíritu</t>
  </si>
  <si>
    <t xml:space="preserve">Joya de Magia</t>
  </si>
  <si>
    <t xml:space="preserve">Fragmento de Entereza</t>
  </si>
  <si>
    <t xml:space="preserve">Fragmento de Fuerza</t>
  </si>
  <si>
    <t xml:space="preserve">Fragmento de Espíritu</t>
  </si>
  <si>
    <t xml:space="preserve">Fragmento de Magia</t>
  </si>
  <si>
    <t xml:space="preserve">Cuerno de Bégimo</t>
  </si>
  <si>
    <t xml:space="preserve">Gran Amenaza X</t>
  </si>
  <si>
    <t xml:space="preserve">Batida: Rey Bégimo 45</t>
  </si>
  <si>
    <t xml:space="preserve">Carcasas de Púas</t>
  </si>
  <si>
    <t xml:space="preserve">Reloj de Bolsillo Roto</t>
  </si>
  <si>
    <t xml:space="preserve">Garra Retorcida</t>
  </si>
  <si>
    <t xml:space="preserve">Hielo++</t>
  </si>
  <si>
    <t xml:space="preserve">Escama Dura</t>
  </si>
  <si>
    <t xml:space="preserve">Incisivo de Bégimo</t>
  </si>
  <si>
    <t xml:space="preserve">Vinculado a la Luz</t>
  </si>
  <si>
    <t xml:space="preserve">Escama de Gran Serpiente</t>
  </si>
  <si>
    <t xml:space="preserve">Púas Afiladas</t>
  </si>
  <si>
    <t xml:space="preserve">Castigador X</t>
  </si>
  <si>
    <t xml:space="preserve">Malla Irradiante de Carpa</t>
  </si>
  <si>
    <t xml:space="preserve">Ímpetu y Tempestad</t>
  </si>
  <si>
    <t xml:space="preserve">Raíz de Mandrágora</t>
  </si>
  <si>
    <t xml:space="preserve">Portador de Muerte (Nivel 1)</t>
  </si>
  <si>
    <t xml:space="preserve">Escama de Naga</t>
  </si>
  <si>
    <t xml:space="preserve">Vacío Vital</t>
  </si>
  <si>
    <t xml:space="preserve">Telaraña de Ariadna</t>
  </si>
  <si>
    <t xml:space="preserve">Antiveneno</t>
  </si>
  <si>
    <t xml:space="preserve">Espina Enorme</t>
  </si>
  <si>
    <t xml:space="preserve">Rompe Defensas II</t>
  </si>
  <si>
    <t xml:space="preserve">Escama Grande de Terroverno</t>
  </si>
  <si>
    <t xml:space="preserve">Potenciador Primordial X</t>
  </si>
  <si>
    <t xml:space="preserve">Ladrillo Roto</t>
  </si>
  <si>
    <t xml:space="preserve">Magia Ofensiva: Piro+</t>
  </si>
  <si>
    <t xml:space="preserve">Hueso Afilado</t>
  </si>
  <si>
    <t xml:space="preserve">Joya de los Cielos</t>
  </si>
  <si>
    <t xml:space="preserve">Magia Defensiva: Destello+</t>
  </si>
  <si>
    <t xml:space="preserve">Guadaña Serrada</t>
  </si>
  <si>
    <t xml:space="preserve">Ímpetu y Tempestad II</t>
  </si>
  <si>
    <t xml:space="preserve">Cilindro Hidráulico</t>
  </si>
  <si>
    <t xml:space="preserve">Potenciador de Trachyon X</t>
  </si>
  <si>
    <t xml:space="preserve">Lingote de Diamante</t>
  </si>
  <si>
    <t xml:space="preserve">Armadura de Placa</t>
  </si>
  <si>
    <t xml:space="preserve">Gema de Oscuridad</t>
  </si>
  <si>
    <t xml:space="preserve">Joya de la Descarga</t>
  </si>
  <si>
    <t xml:space="preserve">Vinculo de Tormenta</t>
  </si>
  <si>
    <t xml:space="preserve">Joya de la Escarcha</t>
  </si>
  <si>
    <t xml:space="preserve">Vinculo Gélido</t>
  </si>
  <si>
    <t xml:space="preserve">Joya de la Llama</t>
  </si>
  <si>
    <t xml:space="preserve">Vinculo de Llama</t>
  </si>
  <si>
    <t xml:space="preserve">Placa Resistente</t>
  </si>
  <si>
    <t xml:space="preserve">Magia Ofensiva: Destello</t>
  </si>
  <si>
    <t xml:space="preserve">Fragmento de Oscuridad</t>
  </si>
  <si>
    <t xml:space="preserve">Fragmento de Tormenta</t>
  </si>
  <si>
    <t xml:space="preserve">Fragmento Gélido</t>
  </si>
  <si>
    <t xml:space="preserve">Fragmento Ígneo</t>
  </si>
  <si>
    <t xml:space="preserve">Bigotes Caídos</t>
  </si>
  <si>
    <t xml:space="preserve">Meteoritos</t>
  </si>
  <si>
    <t xml:space="preserve">SET (Mixto)</t>
  </si>
  <si>
    <t xml:space="preserve">P.Magia</t>
  </si>
  <si>
    <t xml:space="preserve">D.Magia</t>
  </si>
  <si>
    <t xml:space="preserve">Katana – Mumeito (1)</t>
  </si>
  <si>
    <t xml:space="preserve">Mazo – Mjolnir (1)</t>
  </si>
  <si>
    <t xml:space="preserve">Lanza – Bigote de Dragón (1)</t>
  </si>
  <si>
    <t xml:space="preserve">Escudo – (1)</t>
  </si>
  <si>
    <t xml:space="preserve">SET (Físico)</t>
  </si>
  <si>
    <t xml:space="preserve">Katana – Mumeito (2)</t>
  </si>
  <si>
    <t xml:space="preserve">Lanza – Bigote de Dragón (2)</t>
  </si>
  <si>
    <t xml:space="preserve">SET (C)</t>
  </si>
  <si>
    <t xml:space="preserve">MOLDE</t>
  </si>
  <si>
    <t xml:space="preserve">Cant</t>
  </si>
  <si>
    <t xml:space="preserve">T.Exp</t>
  </si>
  <si>
    <t xml:space="preserve">NombreA</t>
  </si>
  <si>
    <t xml:space="preserve">NombreB</t>
  </si>
  <si>
    <t xml:space="preserve">NombreC</t>
  </si>
  <si>
    <t xml:space="preserve">NombreD</t>
  </si>
  <si>
    <t xml:space="preserve">Físico</t>
  </si>
  <si>
    <t xml:space="preserve">Vendedor de Gaus</t>
  </si>
  <si>
    <t xml:space="preserve">Corsesca 30</t>
  </si>
  <si>
    <t xml:space="preserve">Corsesca II 60</t>
  </si>
  <si>
    <t xml:space="preserve">Bigote de Dragón 99</t>
  </si>
  <si>
    <t xml:space="preserve">Bigote de Dragón 120</t>
  </si>
  <si>
    <t xml:space="preserve">Mixta</t>
  </si>
  <si>
    <t xml:space="preserve">Misión Burgos Infestados</t>
  </si>
  <si>
    <t xml:space="preserve">Garrote Mancillado – 50</t>
  </si>
  <si>
    <t xml:space="preserve">Mjolnir – 99</t>
  </si>
  <si>
    <t xml:space="preserve">Mjolnir – 120</t>
  </si>
  <si>
    <t xml:space="preserve">Huérfana – 30</t>
  </si>
  <si>
    <t xml:space="preserve">Sennin-Giri – 60</t>
  </si>
  <si>
    <t xml:space="preserve">Mumeito – 99</t>
  </si>
  <si>
    <t xml:space="preserve">Mumeito – 120</t>
  </si>
  <si>
    <t xml:space="preserve">Coliseo Bégimo Extremo</t>
  </si>
  <si>
    <t xml:space="preserve">Disco Oxidado – 50</t>
  </si>
  <si>
    <t xml:space="preserve">Escudo Sangriento – 99</t>
  </si>
  <si>
    <t xml:space="preserve">Égida – 120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</si>
  <si>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</si>
  <si>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Nivel</t>
  </si>
  <si>
    <t xml:space="preserve">Puntos</t>
  </si>
  <si>
    <t xml:space="preserve">Limite</t>
  </si>
  <si>
    <t xml:space="preserve">Magias</t>
  </si>
  <si>
    <t xml:space="preserve">Resumen</t>
  </si>
  <si>
    <t xml:space="preserve">Hielo</t>
  </si>
  <si>
    <t xml:space="preserve">Piro</t>
  </si>
  <si>
    <t xml:space="preserve">Electro</t>
  </si>
  <si>
    <t xml:space="preserve">Objetos</t>
  </si>
  <si>
    <t xml:space="preserve">Elemento ++ al Azar</t>
  </si>
  <si>
    <t xml:space="preserve">Taumartema</t>
  </si>
  <si>
    <t xml:space="preserve">Piel Endurecida, Garra de Dragón o Pico de Zu</t>
  </si>
  <si>
    <t xml:space="preserve">Hielo++ Piro++</t>
  </si>
  <si>
    <t xml:space="preserve">Hieloartema</t>
  </si>
  <si>
    <t xml:space="preserve">Hielo++ Electro++</t>
  </si>
  <si>
    <t xml:space="preserve">Piro++ Hielo++</t>
  </si>
  <si>
    <t xml:space="preserve">Piroartema</t>
  </si>
  <si>
    <t xml:space="preserve">Piro++ Electro++</t>
  </si>
  <si>
    <t xml:space="preserve">Electro++ Hielo++</t>
  </si>
  <si>
    <t xml:space="preserve">Electroartema</t>
  </si>
  <si>
    <t xml:space="preserve">Electro++ Piro++</t>
  </si>
  <si>
    <t xml:space="preserve">Elementia V</t>
  </si>
  <si>
    <t xml:space="preserve">Cuerno de Bégimo, Galón de Honor Imperial, Púa Rojiza, Flor de Mandragora, Ojo de Mailbol, Nucleo Magitec, Cilindro Hidraulico, garra de Grifo, Cuerno de Dragon</t>
  </si>
  <si>
    <t xml:space="preserve">Imp</t>
  </si>
  <si>
    <t xml:space="preserve">Joya</t>
  </si>
  <si>
    <t xml:space="preserve">Habilidades</t>
  </si>
  <si>
    <t xml:space="preserve">Descripción</t>
  </si>
  <si>
    <t xml:space="preserve">Monstruo</t>
  </si>
  <si>
    <t xml:space="preserve">Min</t>
  </si>
  <si>
    <t xml:space="preserve">Max</t>
  </si>
  <si>
    <t xml:space="preserve">Orden</t>
  </si>
  <si>
    <t xml:space="preserve">Debilida</t>
  </si>
  <si>
    <t xml:space="preserve">Arma</t>
  </si>
  <si>
    <t xml:space="preserve">Bonus Evasión</t>
  </si>
  <si>
    <t xml:space="preserve">Reduce el gasto de resistencia para acciones que la consumen gradualmente (como evadir)</t>
  </si>
  <si>
    <t xml:space="preserve">Tigrex Pardo</t>
  </si>
  <si>
    <t xml:space="preserve">X</t>
  </si>
  <si>
    <t xml:space="preserve">Agua</t>
  </si>
  <si>
    <t xml:space="preserve">Intervalo de Evasión</t>
  </si>
  <si>
    <t xml:space="preserve">Prolonga el momento de invulnerabilidad al esquivar</t>
  </si>
  <si>
    <t xml:space="preserve">Distancia de Evasión</t>
  </si>
  <si>
    <t xml:space="preserve">Aumenta la distancia al esquivar</t>
  </si>
  <si>
    <t xml:space="preserve">Debilitador</t>
  </si>
  <si>
    <t xml:space="preserve">si</t>
  </si>
  <si>
    <t xml:space="preserve">Bonus de Adrenalina</t>
  </si>
  <si>
    <t xml:space="preserve">Aumenta la velocidad de recuperación de tu resistencia</t>
  </si>
  <si>
    <t xml:space="preserve">Agua fiesta</t>
  </si>
  <si>
    <t xml:space="preserve">Bonus Esprint</t>
  </si>
  <si>
    <t xml:space="preserve">Reduce el gasto de resistencia para acciones que la consumen gradualmente (como esprintar)</t>
  </si>
  <si>
    <t xml:space="preserve">Anti Plagas</t>
  </si>
  <si>
    <t xml:space="preserve">Otorga protección contra todas las plagas elementales</t>
  </si>
  <si>
    <t xml:space="preserve">Anti Aturdimiento</t>
  </si>
  <si>
    <t xml:space="preserve">Reduce la duración del aturdimiento</t>
  </si>
  <si>
    <t xml:space="preserve">Bonus Salud</t>
  </si>
  <si>
    <t xml:space="preserve">Aumenta la salud</t>
  </si>
  <si>
    <t xml:space="preserve">Bonus Punto Débil</t>
  </si>
  <si>
    <t xml:space="preserve">Aumenta la afinidad de ataques que aprovechan el punto débil de un monstruo</t>
  </si>
  <si>
    <t xml:space="preserve">Velocidad al Comer</t>
  </si>
  <si>
    <t xml:space="preserve">Aumenta la velocidad al comer carne y consumir objetos</t>
  </si>
  <si>
    <t xml:space="preserve">Acabado Protector</t>
  </si>
  <si>
    <t xml:space="preserve">El afilado del arma no disminuye durante un tiempo tras afilarla.</t>
  </si>
  <si>
    <t xml:space="preserve">Anti Veneno</t>
  </si>
  <si>
    <t xml:space="preserve">Reduce el daño al estar envenenado</t>
  </si>
  <si>
    <t xml:space="preserve">Anti Sangrado</t>
  </si>
  <si>
    <t xml:space="preserve">Reduce o anula el sangrado</t>
  </si>
  <si>
    <t xml:space="preserve">Anti Efluvio</t>
  </si>
  <si>
    <t xml:space="preserve">Reduce el Daño Por Efluvio</t>
  </si>
  <si>
    <t xml:space="preserve">Estado</t>
  </si>
  <si>
    <t xml:space="preserve">Manejo</t>
  </si>
  <si>
    <t xml:space="preserve">Daño</t>
  </si>
  <si>
    <t xml:space="preserve">Extracción</t>
  </si>
  <si>
    <t xml:space="preserve">Rayo</t>
  </si>
  <si>
    <t xml:space="preserve">Fuego</t>
  </si>
  <si>
    <t xml:space="preserve">Corrupción</t>
  </si>
  <si>
    <t xml:space="preserve">Arco de Campeón Experto</t>
  </si>
  <si>
    <t xml:space="preserve">Arco Golpeador Experto</t>
  </si>
  <si>
    <t xml:space="preserve">Fuerte</t>
  </si>
  <si>
    <t xml:space="preserve">Revisar</t>
  </si>
  <si>
    <t xml:space="preserve">Arco Potente Experto</t>
  </si>
  <si>
    <t xml:space="preserve">Aturdidor Experto</t>
  </si>
  <si>
    <t xml:space="preserve">Cascabel Experto</t>
  </si>
  <si>
    <t xml:space="preserve">Fuego de la Forja Experto</t>
  </si>
  <si>
    <t xml:space="preserve">Honda Experto</t>
  </si>
  <si>
    <t xml:space="preserve">Honda Explosiva de la Logia</t>
  </si>
  <si>
    <t xml:space="preserve">Lanza Cuerda de la Liga Experto</t>
  </si>
  <si>
    <t xml:space="preserve">Lanza de Hielo Experta</t>
  </si>
  <si>
    <t xml:space="preserve">Lanza de Sylens</t>
  </si>
  <si>
    <t xml:space="preserve">Lanza Tormentas Experto</t>
  </si>
  <si>
    <t xml:space="preserve">Habilidades Personal</t>
  </si>
  <si>
    <t xml:space="preserve">Secundaria</t>
  </si>
  <si>
    <t xml:space="preserve">Epidemia</t>
  </si>
  <si>
    <t xml:space="preserve">Idioma</t>
  </si>
  <si>
    <t xml:space="preserve">Anestesista</t>
  </si>
  <si>
    <t xml:space="preserve">Cuarentena</t>
  </si>
  <si>
    <t xml:space="preserve">Kikongo</t>
  </si>
  <si>
    <t xml:space="preserve">Especialista en Transporte</t>
  </si>
  <si>
    <t xml:space="preserve">Ingeniero de Materiales</t>
  </si>
  <si>
    <t xml:space="preserve">Especialista en Teledirección de Misiles</t>
  </si>
  <si>
    <t xml:space="preserve">Armero Legendario</t>
  </si>
  <si>
    <t xml:space="preserve">Materiales</t>
  </si>
  <si>
    <t xml:space="preserve">Ubicación</t>
  </si>
  <si>
    <t xml:space="preserve">Hierbalosa</t>
  </si>
  <si>
    <t xml:space="preserve">Aguilar de la Muerte</t>
  </si>
  <si>
    <t xml:space="preserve">Madeja Celestial</t>
  </si>
  <si>
    <t xml:space="preserve">Medicina Superior</t>
  </si>
  <si>
    <t xml:space="preserve">Mineral de Oro</t>
  </si>
  <si>
    <t xml:space="preserve">Mineral de Platino</t>
  </si>
  <si>
    <t xml:space="preserve">Minicaparazón de Tortuga</t>
  </si>
  <si>
    <t xml:space="preserve">Ojo Morado</t>
  </si>
  <si>
    <t xml:space="preserve">Pluma Peluda</t>
  </si>
  <si>
    <t xml:space="preserve">Despertadera</t>
  </si>
  <si>
    <t xml:space="preserve">Awasaki</t>
  </si>
  <si>
    <t xml:space="preserve">Hueso de Bestia</t>
  </si>
  <si>
    <t xml:space="preserve">Mineral de Cobre</t>
  </si>
  <si>
    <t xml:space="preserve">Mineral de Hierro</t>
  </si>
  <si>
    <t xml:space="preserve">Piedra Caliente</t>
  </si>
  <si>
    <t xml:space="preserve">Piedra Volcanica</t>
  </si>
  <si>
    <t xml:space="preserve">Polvo de Cristal</t>
  </si>
  <si>
    <t xml:space="preserve">Piedra Etérea</t>
  </si>
  <si>
    <t xml:space="preserve">Piedra Encantada</t>
  </si>
  <si>
    <t xml:space="preserve">Fragmento de Lucida</t>
  </si>
  <si>
    <t xml:space="preserve">Bosque de Seidr (Estepa de Olaf)</t>
  </si>
  <si>
    <t xml:space="preserve">Nieve Perpetua</t>
  </si>
  <si>
    <t xml:space="preserve">Ojo Azul</t>
  </si>
  <si>
    <t xml:space="preserve">Remalacha</t>
  </si>
  <si>
    <t xml:space="preserve">Agua Mágica</t>
  </si>
  <si>
    <t xml:space="preserve">Bosque Primigenio</t>
  </si>
  <si>
    <t xml:space="preserve">Algodón de Hada</t>
  </si>
  <si>
    <t xml:space="preserve">Bellaseta</t>
  </si>
  <si>
    <t xml:space="preserve">Flor de Seda</t>
  </si>
  <si>
    <t xml:space="preserve">Hierba de Luz</t>
  </si>
  <si>
    <t xml:space="preserve">Rama Encantada</t>
  </si>
  <si>
    <t xml:space="preserve">Chelin Drasileño</t>
  </si>
  <si>
    <t xml:space="preserve">Champs Sauvage</t>
  </si>
  <si>
    <t xml:space="preserve">Incienpienso</t>
  </si>
  <si>
    <t xml:space="preserve">Narcisoso</t>
  </si>
  <si>
    <t xml:space="preserve">Ojo Rojo</t>
  </si>
  <si>
    <t xml:space="preserve">Penderal</t>
  </si>
  <si>
    <t xml:space="preserve">Petriespejo</t>
  </si>
  <si>
    <t xml:space="preserve">Rama Rosa</t>
  </si>
  <si>
    <t xml:space="preserve">Savia Brillante</t>
  </si>
  <si>
    <t xml:space="preserve">Telujo</t>
  </si>
  <si>
    <t xml:space="preserve">Mineral de Mitrilo</t>
  </si>
  <si>
    <t xml:space="preserve">Densinio</t>
  </si>
  <si>
    <t xml:space="preserve">Ciudad de Fiordholm</t>
  </si>
  <si>
    <t xml:space="preserve">Mineral de Plata</t>
  </si>
  <si>
    <t xml:space="preserve">Ramalancha</t>
  </si>
  <si>
    <t xml:space="preserve">Roca Animosa</t>
  </si>
  <si>
    <t xml:space="preserve">Sevia Brillante</t>
  </si>
  <si>
    <t xml:space="preserve">Adormidera</t>
  </si>
  <si>
    <t xml:space="preserve">Costa Esmeralda</t>
  </si>
  <si>
    <t xml:space="preserve">Agua Fresca</t>
  </si>
  <si>
    <t xml:space="preserve">Ala de Mariposa</t>
  </si>
  <si>
    <t xml:space="preserve">Alga Mística</t>
  </si>
  <si>
    <t xml:space="preserve">Flor de Algodón</t>
  </si>
  <si>
    <t xml:space="preserve">Ojo Verde</t>
  </si>
  <si>
    <t xml:space="preserve">Picamoras</t>
  </si>
  <si>
    <t xml:space="preserve">Planta de Fierabrás</t>
  </si>
  <si>
    <t xml:space="preserve">Costa Valor</t>
  </si>
  <si>
    <t xml:space="preserve">Caracola Cristalina</t>
  </si>
  <si>
    <t xml:space="preserve">Coral Carmesí</t>
  </si>
  <si>
    <t xml:space="preserve">Flor de Marea</t>
  </si>
  <si>
    <t xml:space="preserve">Dundrasil</t>
  </si>
  <si>
    <t xml:space="preserve">Antídoto Intenso</t>
  </si>
  <si>
    <t xml:space="preserve">Piel de Animal Mágico</t>
  </si>
  <si>
    <t xml:space="preserve">Piel de Dragón</t>
  </si>
  <si>
    <t xml:space="preserve">Tierra Real</t>
  </si>
  <si>
    <t xml:space="preserve">Glóbulos Fundidos</t>
  </si>
  <si>
    <t xml:space="preserve">El Bosquevil</t>
  </si>
  <si>
    <t xml:space="preserve">Palitroque Letal</t>
  </si>
  <si>
    <t xml:space="preserve">Escama Pequeña</t>
  </si>
  <si>
    <t xml:space="preserve">Estepa de Olaf</t>
  </si>
  <si>
    <t xml:space="preserve">Agua de Oasis</t>
  </si>
  <si>
    <t xml:space="preserve">Galopolis</t>
  </si>
  <si>
    <t xml:space="preserve">Ala de Murciélago</t>
  </si>
  <si>
    <t xml:space="preserve">Frambiña</t>
  </si>
  <si>
    <t xml:space="preserve">Ojo Amarillo</t>
  </si>
  <si>
    <t xml:space="preserve">Piel de Serpiente</t>
  </si>
  <si>
    <t xml:space="preserve">Rama Marchita</t>
  </si>
  <si>
    <t xml:space="preserve">Gandolia</t>
  </si>
  <si>
    <t xml:space="preserve">Ala de Quimera</t>
  </si>
  <si>
    <t xml:space="preserve">Bulbo Lunar</t>
  </si>
  <si>
    <t xml:space="preserve">Medicina Fuerte</t>
  </si>
  <si>
    <t xml:space="preserve">Heliodor</t>
  </si>
  <si>
    <t xml:space="preserve">Fragmento de Rocobomba</t>
  </si>
  <si>
    <t xml:space="preserve">Planta Medicinal</t>
  </si>
  <si>
    <t xml:space="preserve">Pétalo de Cerezo</t>
  </si>
  <si>
    <t xml:space="preserve">Isla Norte</t>
  </si>
  <si>
    <t xml:space="preserve">Náutica</t>
  </si>
  <si>
    <t xml:space="preserve">Posada Reposo del Guerrero</t>
  </si>
  <si>
    <t xml:space="preserve">Coagulante</t>
  </si>
  <si>
    <t xml:space="preserve">Piedravita</t>
  </si>
  <si>
    <t xml:space="preserve">Esencia de Ola</t>
  </si>
  <si>
    <t xml:space="preserve">Solalulu</t>
  </si>
  <si>
    <t xml:space="preserve">Tierras Altas de Arbolia</t>
  </si>
  <si>
    <t xml:space="preserve">Hoja de Yggdrasil</t>
  </si>
  <si>
    <t xml:space="preserve">Yggdrasil</t>
  </si>
  <si>
    <t xml:space="preserve">Lunaria</t>
  </si>
  <si>
    <t xml:space="preserve">Rocio de Yggdrasil</t>
  </si>
  <si>
    <t xml:space="preserve">Monte Zascalaya</t>
  </si>
  <si>
    <t xml:space="preserve">Monte Zascalaya (Cueva)</t>
  </si>
  <si>
    <t xml:space="preserve">Monte Zascalaya (Ladera)</t>
  </si>
  <si>
    <t xml:space="preserve">Isla Sur Este de la Nieve</t>
  </si>
  <si>
    <t xml:space="preserve">Perla Negra</t>
  </si>
  <si>
    <t xml:space="preserve">Zafiro Erudito</t>
  </si>
  <si>
    <t xml:space="preserve">Fiordholm (Piratas)</t>
  </si>
  <si>
    <t xml:space="preserve">Cristal de Hielo</t>
  </si>
  <si>
    <t xml:space="preserve">Fiordholm (Región)</t>
  </si>
  <si>
    <t xml:space="preserve">Estepa de Olaf (El Bosque de Seidr)</t>
  </si>
  <si>
    <t xml:space="preserve">Cod</t>
  </si>
  <si>
    <t xml:space="preserve">Clase</t>
  </si>
  <si>
    <t xml:space="preserve">Set</t>
  </si>
  <si>
    <t xml:space="preserve">Parte</t>
  </si>
  <si>
    <t xml:space="preserve">Señal</t>
  </si>
  <si>
    <t xml:space="preserve">Adrenalina</t>
  </si>
  <si>
    <t xml:space="preserve">P Ataque</t>
  </si>
  <si>
    <t xml:space="preserve">R Perforarte</t>
  </si>
  <si>
    <t xml:space="preserve">R Porrazo</t>
  </si>
  <si>
    <t xml:space="preserve">R Cortante</t>
  </si>
  <si>
    <t xml:space="preserve">R Monstruo</t>
  </si>
  <si>
    <t xml:space="preserve">R Elemental</t>
  </si>
  <si>
    <t xml:space="preserve">Quen</t>
  </si>
  <si>
    <t xml:space="preserve">Felinas Armadura</t>
  </si>
  <si>
    <t xml:space="preserve">Felinas Botas</t>
  </si>
  <si>
    <t xml:space="preserve">Felinas Guantes</t>
  </si>
  <si>
    <t xml:space="preserve">Felinas Pantalón</t>
  </si>
  <si>
    <t xml:space="preserve">Grifo Botas</t>
  </si>
  <si>
    <t xml:space="preserve">Brujo</t>
  </si>
  <si>
    <t xml:space="preserve">Grifo</t>
  </si>
  <si>
    <t xml:space="preserve">Felinas</t>
  </si>
  <si>
    <t xml:space="preserve">Lobezno Botas</t>
  </si>
  <si>
    <t xml:space="preserve">Lobezno</t>
  </si>
  <si>
    <t xml:space="preserve">Osuna Botas</t>
  </si>
  <si>
    <t xml:space="preserve">Osuna</t>
  </si>
  <si>
    <t xml:space="preserve">Grifo Armadura</t>
  </si>
  <si>
    <t xml:space="preserve">Armadura</t>
  </si>
  <si>
    <t xml:space="preserve">Lobezno Armadura</t>
  </si>
  <si>
    <t xml:space="preserve">Osuna Armadura</t>
  </si>
  <si>
    <t xml:space="preserve">Grifo Guantes</t>
  </si>
  <si>
    <t xml:space="preserve">Guantes</t>
  </si>
  <si>
    <t xml:space="preserve">Lobezno Guantes</t>
  </si>
  <si>
    <t xml:space="preserve">Osuna Guantes</t>
  </si>
  <si>
    <t xml:space="preserve">Grifo Pantalón</t>
  </si>
  <si>
    <t xml:space="preserve">Pantalón</t>
  </si>
  <si>
    <t xml:space="preserve">Lobezno Pantalón</t>
  </si>
  <si>
    <t xml:space="preserve">Osuna Pantalón</t>
  </si>
  <si>
    <t xml:space="preserve">Color</t>
  </si>
  <si>
    <t xml:space="preserve">Tipo</t>
  </si>
  <si>
    <t xml:space="preserve">Obj</t>
  </si>
  <si>
    <t xml:space="preserve">Blanco</t>
  </si>
  <si>
    <t xml:space="preserve">Común</t>
  </si>
  <si>
    <t xml:space="preserve">Vender</t>
  </si>
  <si>
    <t xml:space="preserve">Azul</t>
  </si>
  <si>
    <t xml:space="preserve">Magistral</t>
  </si>
  <si>
    <t xml:space="preserve">Amarillo</t>
  </si>
  <si>
    <t xml:space="preserve">Mágico</t>
  </si>
  <si>
    <t xml:space="preserve">Desmantelar</t>
  </si>
  <si>
    <t xml:space="preserve">Narango</t>
  </si>
  <si>
    <t xml:space="preserve">Reliquia</t>
  </si>
  <si>
    <t xml:space="preserve">vender</t>
  </si>
  <si>
    <t xml:space="preserve">Verde</t>
  </si>
  <si>
    <t xml:space="preserve">Objeto</t>
  </si>
  <si>
    <t xml:space="preserve">Mercaderes</t>
  </si>
  <si>
    <t xml:space="preserve">Región</t>
  </si>
  <si>
    <t xml:space="preserve">Armero</t>
  </si>
  <si>
    <t xml:space="preserve">Novigard</t>
  </si>
  <si>
    <t xml:space="preserve">Armero en la Plaza del Jaraca</t>
  </si>
  <si>
    <t xml:space="preserve">Armas</t>
  </si>
  <si>
    <t xml:space="preserve">Herrero</t>
  </si>
  <si>
    <t xml:space="preserve">Hattori al Oeste de la Plaza de Jareca</t>
  </si>
  <si>
    <t xml:space="preserve">Mejoras</t>
  </si>
  <si>
    <t xml:space="preserve">Armero o Herrero</t>
  </si>
  <si>
    <t xml:space="preserve">Accesorios de Caballo</t>
  </si>
  <si>
    <t xml:space="preserve">Libros</t>
  </si>
  <si>
    <t xml:space="preserve">Liberia</t>
  </si>
  <si>
    <t xml:space="preserve">Marcus TK Hodgson en la Plaza del Jaraca</t>
  </si>
  <si>
    <t xml:space="preserve">Objetos de Alquimia</t>
  </si>
  <si>
    <t xml:space="preserve">Alquimistas y Herboristas</t>
  </si>
  <si>
    <t xml:space="preserve">Todas</t>
  </si>
  <si>
    <t xml:space="preserve">Gremist el Druida en Gadyneith (Skellige)</t>
  </si>
  <si>
    <t xml:space="preserve">Comida, trastos, Alcoholes</t>
  </si>
  <si>
    <t xml:space="preserve">Posaderos</t>
  </si>
  <si>
    <t xml:space="preserve">El Posadero de la Marquesa en la Ciudad</t>
  </si>
  <si>
    <t xml:space="preserve">Num</t>
  </si>
  <si>
    <t xml:space="preserve">Invasión</t>
  </si>
  <si>
    <t xml:space="preserve">Normal</t>
  </si>
  <si>
    <t xml:space="preserve">-Museo de Historia Norteamericana</t>
  </si>
  <si>
    <t xml:space="preserve">-Museo ViewPoint</t>
  </si>
  <si>
    <t xml:space="preserve">-Sede central de la administracion espacial</t>
  </si>
  <si>
    <t xml:space="preserve">-centro de eventos potomac</t>
  </si>
  <si>
    <t xml:space="preserve">-Bunker de emergencia federal</t>
  </si>
  <si>
    <t xml:space="preserve">-Isla Roosevelt</t>
  </si>
  <si>
    <t xml:space="preserve">-Jefferson Plaza</t>
  </si>
  <si>
    <t xml:space="preserve">-Hotel Grand Washington</t>
  </si>
  <si>
    <t xml:space="preserve">-Jefferson Trade Center</t>
  </si>
  <si>
    <t xml:space="preserve">-Distric Union Arena</t>
  </si>
  <si>
    <t xml:space="preserve">-Capitolio</t>
  </si>
  <si>
    <t xml:space="preserve">-Lincoln Memorial</t>
  </si>
  <si>
    <t xml:space="preserve">-Sede Central del CCE</t>
  </si>
  <si>
    <t xml:space="preserve">-Sede Central Bancaria</t>
  </si>
  <si>
    <t xml:space="preserve">-Museo Air and Space </t>
  </si>
  <si>
    <t xml:space="preserve">Defensa</t>
  </si>
  <si>
    <t xml:space="preserve">Peso</t>
  </si>
  <si>
    <t xml:space="preserve">Habilidad </t>
  </si>
  <si>
    <t xml:space="preserve">Pot1</t>
  </si>
  <si>
    <t xml:space="preserve">Pot2</t>
  </si>
  <si>
    <t xml:space="preserve">Pot3</t>
  </si>
  <si>
    <t xml:space="preserve">Akari</t>
  </si>
  <si>
    <t xml:space="preserve">Ancestral</t>
  </si>
  <si>
    <t xml:space="preserve">Asesino</t>
  </si>
  <si>
    <t xml:space="preserve">Aventurero</t>
  </si>
  <si>
    <t xml:space="preserve">Bandido</t>
  </si>
  <si>
    <t xml:space="preserve">Buscador</t>
  </si>
  <si>
    <t xml:space="preserve">Caparazón </t>
  </si>
  <si>
    <t xml:space="preserve">Cazador</t>
  </si>
  <si>
    <t xml:space="preserve">Chatarrero</t>
  </si>
  <si>
    <t xml:space="preserve">Laberinto</t>
  </si>
  <si>
    <t xml:space="preserve">Daño Mod y Rec 10% E Mod</t>
  </si>
  <si>
    <t xml:space="preserve">15% daño</t>
  </si>
  <si>
    <t xml:space="preserve">30% Daño</t>
  </si>
  <si>
    <t xml:space="preserve">50% Daño</t>
  </si>
  <si>
    <t xml:space="preserve">Leto</t>
  </si>
  <si>
    <t xml:space="preserve">Oseo</t>
  </si>
  <si>
    <t xml:space="preserve">Radiante</t>
  </si>
  <si>
    <t xml:space="preserve">Retorcida Capucha</t>
  </si>
  <si>
    <t xml:space="preserve">Regeneración y Acumulación</t>
  </si>
  <si>
    <t xml:space="preserve">0.75% Daño x Acum</t>
  </si>
  <si>
    <t xml:space="preserve">1.5% Daño x Acum</t>
  </si>
  <si>
    <t xml:space="preserve">3% Daño x Acum</t>
  </si>
  <si>
    <t xml:space="preserve">Retorcida Mascara</t>
  </si>
  <si>
    <t xml:space="preserve">Secta</t>
  </si>
  <si>
    <t xml:space="preserve">Señor de la Guerra</t>
  </si>
  <si>
    <t xml:space="preserve">Absorción de Vida no Corazon</t>
  </si>
  <si>
    <t xml:space="preserve">10% Daño 1% Absorción</t>
  </si>
  <si>
    <t xml:space="preserve">25% Daño 2% Absorción</t>
  </si>
  <si>
    <t xml:space="preserve">35% Daño 3.5% Absorción</t>
  </si>
  <si>
    <t xml:space="preserve">Vacío</t>
  </si>
  <si>
    <t xml:space="preserve">Reducción de Daño</t>
  </si>
  <si>
    <t xml:space="preserve">7,5% Pot de Daño</t>
  </si>
  <si>
    <t xml:space="preserve">15% Pot de Daño</t>
  </si>
  <si>
    <t xml:space="preserve">25% Pot de Daño</t>
  </si>
  <si>
    <t xml:space="preserve">Viajero</t>
  </si>
  <si>
    <t xml:space="preserve">Buenos Reflejos, Acumulación</t>
  </si>
  <si>
    <t xml:space="preserve">1.5% Daño x Acumulación</t>
  </si>
  <si>
    <t xml:space="preserve">3% Daño x Acumulación</t>
  </si>
  <si>
    <t xml:space="preserve">5% Daño x Acumulación</t>
  </si>
  <si>
    <t xml:space="preserve">Item A</t>
  </si>
  <si>
    <t xml:space="preserve">Item B</t>
  </si>
  <si>
    <t xml:space="preserve">Equipo</t>
  </si>
  <si>
    <t xml:space="preserve">Resultado</t>
  </si>
  <si>
    <t xml:space="preserve">Componente</t>
  </si>
  <si>
    <t xml:space="preserve">Fragmento de Fuego</t>
  </si>
  <si>
    <t xml:space="preserve">Impecable</t>
  </si>
  <si>
    <t xml:space="preserve">Prob. Conmoción</t>
  </si>
  <si>
    <t xml:space="preserve">Hoja Curva Primaria</t>
  </si>
  <si>
    <t xml:space="preserve">Fragmento de Hielo</t>
  </si>
  <si>
    <t xml:space="preserve">Fuego 20% Hielo 20% Rayo</t>
  </si>
  <si>
    <t xml:space="preserve">Fragmento de Veneno</t>
  </si>
  <si>
    <t xml:space="preserve">+50 Salud +50 Manà</t>
  </si>
  <si>
    <t xml:space="preserve">Fragmento de Rayo </t>
  </si>
  <si>
    <t xml:space="preserve">Fragmento de Protección</t>
  </si>
  <si>
    <t xml:space="preserve">Bonificación XP</t>
  </si>
  <si>
    <t xml:space="preserve">Prob. Aturdir</t>
  </si>
  <si>
    <t xml:space="preserve">Fragmento Físico</t>
  </si>
  <si>
    <t xml:space="preserve">Oro Soltado</t>
  </si>
  <si>
    <t xml:space="preserve">15% Daño + 10% Resis. Daño</t>
  </si>
  <si>
    <t xml:space="preserve">Fragmento Mágico</t>
  </si>
  <si>
    <t xml:space="preserve">Coste Manà</t>
  </si>
  <si>
    <t xml:space="preserve">+1 los 4 Primeros Niveles Pericia y Magia</t>
  </si>
  <si>
    <t xml:space="preserve">+1 Toda Pericia</t>
  </si>
  <si>
    <t xml:space="preserve">+1 Toda Poder</t>
  </si>
  <si>
    <t xml:space="preserve">+1 Toda Magia</t>
  </si>
  <si>
    <t xml:space="preserve">Gemas</t>
  </si>
  <si>
    <t xml:space="preserve">Combinaciones</t>
  </si>
  <si>
    <t xml:space="preserve">Piedra de resistencia</t>
  </si>
  <si>
    <t xml:space="preserve">+5 Poder arcano</t>
  </si>
  <si>
    <t xml:space="preserve">Piedras de poder</t>
  </si>
  <si>
    <t xml:space="preserve">+2% Probabilidad de arcano critico</t>
  </si>
  <si>
    <t xml:space="preserve">Piedras místicas</t>
  </si>
  <si>
    <t xml:space="preserve">+10% Daño arcano critico</t>
  </si>
  <si>
    <t xml:space="preserve">+2% Probabilidad de critico</t>
  </si>
  <si>
    <t xml:space="preserve">+5 Fuerza</t>
  </si>
  <si>
    <t xml:space="preserve">+30 PH</t>
  </si>
  <si>
    <t xml:space="preserve">+20 Ira</t>
  </si>
  <si>
    <t xml:space="preserve">+10% Daño critico</t>
  </si>
  <si>
    <t xml:space="preserve">+20 Resistencia</t>
  </si>
  <si>
    <t xml:space="preserve">+20 Defensa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</si>
</sst>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#,##0"/>
    <numFmt numFmtId="167" formatCode="0%"/>
    <numFmt numFmtId="168" formatCode="General"/>
    <numFmt numFmtId="169" formatCode="0.00"/>
    <numFmt numFmtId="170" formatCode="0\ %"/>
    <numFmt numFmtId="171" formatCode="#,##0.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4000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0"/>
      <color rgb="FFFFFFFF"/>
      <name val="Arial"/>
      <family val="2"/>
      <charset val="1"/>
    </font>
    <font>
      <u val="singl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780373"/>
        <bgColor rgb="FF800080"/>
      </patternFill>
    </fill>
    <fill>
      <patternFill patternType="solid">
        <fgColor rgb="FFFF0000"/>
        <bgColor rgb="FFF10D0C"/>
      </patternFill>
    </fill>
    <fill>
      <patternFill patternType="solid">
        <fgColor rgb="FF5983B0"/>
        <bgColor rgb="FF729FC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0080"/>
      </patternFill>
    </fill>
    <fill>
      <patternFill patternType="solid">
        <fgColor rgb="FFC00000"/>
        <bgColor rgb="FFC9211E"/>
      </patternFill>
    </fill>
    <fill>
      <patternFill patternType="solid">
        <fgColor rgb="FF000000"/>
        <bgColor rgb="FF003300"/>
      </patternFill>
    </fill>
    <fill>
      <patternFill patternType="solid">
        <fgColor rgb="FF55308D"/>
        <bgColor rgb="FF333333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6F9D4"/>
      </patternFill>
    </fill>
    <fill>
      <patternFill patternType="solid">
        <fgColor rgb="FFDEE6EF"/>
        <bgColor rgb="FFF6F9D4"/>
      </patternFill>
    </fill>
    <fill>
      <patternFill patternType="solid">
        <fgColor rgb="FFCCCCCC"/>
        <bgColor rgb="FFE0C2CD"/>
      </patternFill>
    </fill>
    <fill>
      <patternFill patternType="solid">
        <fgColor rgb="FFFFD8CE"/>
        <bgColor rgb="FFFFD7D7"/>
      </patternFill>
    </fill>
    <fill>
      <patternFill patternType="solid">
        <fgColor rgb="FF800080"/>
        <bgColor rgb="FF780373"/>
      </patternFill>
    </fill>
    <fill>
      <patternFill patternType="solid">
        <fgColor rgb="FFFFD7D7"/>
        <bgColor rgb="FFFFD8CE"/>
      </patternFill>
    </fill>
    <fill>
      <patternFill patternType="solid">
        <fgColor rgb="FFF6F9D4"/>
        <bgColor rgb="FFFFF5CE"/>
      </patternFill>
    </fill>
    <fill>
      <patternFill patternType="solid">
        <fgColor rgb="FF2A6099"/>
        <bgColor rgb="FF158466"/>
      </patternFill>
    </fill>
    <fill>
      <patternFill patternType="solid">
        <fgColor rgb="FFFFFFA6"/>
        <bgColor rgb="FFFFF5CE"/>
      </patternFill>
    </fill>
    <fill>
      <patternFill patternType="solid">
        <fgColor rgb="FF158466"/>
        <bgColor rgb="FF008080"/>
      </patternFill>
    </fill>
    <fill>
      <patternFill patternType="solid">
        <fgColor rgb="FFF10D0C"/>
        <bgColor rgb="FFFF0000"/>
      </patternFill>
    </fill>
    <fill>
      <patternFill patternType="solid">
        <fgColor rgb="FFFF972F"/>
        <bgColor rgb="FFFF8080"/>
      </patternFill>
    </fill>
    <fill>
      <patternFill patternType="solid">
        <fgColor rgb="FFFFF5CE"/>
        <bgColor rgb="FFF6F9D4"/>
      </patternFill>
    </fill>
    <fill>
      <patternFill patternType="solid">
        <fgColor rgb="FFAFD095"/>
        <bgColor rgb="FFCCCCCC"/>
      </patternFill>
    </fill>
    <fill>
      <patternFill patternType="solid">
        <fgColor rgb="FF6B5E9B"/>
        <bgColor rgb="FF5983B0"/>
      </patternFill>
    </fill>
    <fill>
      <patternFill patternType="solid">
        <fgColor rgb="FFE0C2CD"/>
        <bgColor rgb="FFCCCCCC"/>
      </patternFill>
    </fill>
    <fill>
      <patternFill patternType="solid">
        <fgColor rgb="FF729FCF"/>
        <bgColor rgb="FF5983B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 style="hair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applyFont="true" applyBorder="true" applyAlignment="true" applyProtection="false">
      <alignment horizontal="center" vertical="bottom" textRotation="0" wrapText="false" indent="0" shrinkToFit="false"/>
    </xf>
    <xf numFmtId="164" fontId="4" fillId="3" borderId="1" applyFont="true" applyBorder="true" applyAlignment="true" applyProtection="false">
      <alignment horizontal="center" vertical="bottom" textRotation="0" wrapText="false" indent="0" shrinkToFit="false"/>
    </xf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1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1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1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1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4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RogoDecimal" xfId="21"/>
    <cellStyle name="Rojo" xfId="22"/>
  </cellStyles>
  <dxfs count="7">
    <dxf>
      <font>
        <name val="Arial"/>
        <charset val="1"/>
        <family val="2"/>
      </font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158466"/>
      <rgbColor rgb="FFCCCCCC"/>
      <rgbColor rgb="FF5983B0"/>
      <rgbColor rgb="FF729FCF"/>
      <rgbColor rgb="FF993366"/>
      <rgbColor rgb="FFFFFFD7"/>
      <rgbColor rgb="FFDEE6EF"/>
      <rgbColor rgb="FF660066"/>
      <rgbColor rgb="FFFF8080"/>
      <rgbColor rgb="FF2A6099"/>
      <rgbColor rgb="FFE0C2CD"/>
      <rgbColor rgb="FF000080"/>
      <rgbColor rgb="FFFF00FF"/>
      <rgbColor rgb="FFFFFF00"/>
      <rgbColor rgb="FF00FFFF"/>
      <rgbColor rgb="FF780373"/>
      <rgbColor rgb="FFF10D0C"/>
      <rgbColor rgb="FF008080"/>
      <rgbColor rgb="FF0000FF"/>
      <rgbColor rgb="FF00CCFF"/>
      <rgbColor rgb="FFFFF5CE"/>
      <rgbColor rgb="FFF6F9D4"/>
      <rgbColor rgb="FFFFFFA6"/>
      <rgbColor rgb="FFAFD095"/>
      <rgbColor rgb="FFFFD7D7"/>
      <rgbColor rgb="FFCC99FF"/>
      <rgbColor rgb="FFFFD8CE"/>
      <rgbColor rgb="FF3366FF"/>
      <rgbColor rgb="FF33CCCC"/>
      <rgbColor rgb="FF99CC00"/>
      <rgbColor rgb="FFFFCC00"/>
      <rgbColor rgb="FFFF972F"/>
      <rgbColor rgb="FFFF4000"/>
      <rgbColor rgb="FF6B5E9B"/>
      <rgbColor rgb="FF969696"/>
      <rgbColor rgb="FF002060"/>
      <rgbColor rgb="FF339966"/>
      <rgbColor rgb="FF003300"/>
      <rgbColor rgb="FF333300"/>
      <rgbColor rgb="FFC9211E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D_SET" displayName="BD_SET" ref="A11:P48" headerRowCount="1" totalsRowCount="0" totalsRowShown="0">
  <tableColumns count="16">
    <tableColumn id="1" name="Cod"/>
    <tableColumn id="2" name="Nivel"/>
    <tableColumn id="3" name="Clase"/>
    <tableColumn id="4" name="Set"/>
    <tableColumn id="5" name="Parte"/>
    <tableColumn id="6" name="Señal"/>
    <tableColumn id="7" name="Adrenalina"/>
    <tableColumn id="8" name="P Ataque"/>
    <tableColumn id="9" name="R Perforarte"/>
    <tableColumn id="10" name="R Porrazo"/>
    <tableColumn id="11" name="R Cortante"/>
    <tableColumn id="12" name="R Monstruo"/>
    <tableColumn id="13" name="R Elemental"/>
    <tableColumn id="14" name="Quen"/>
    <tableColumn id="15" name=""/>
    <tableColumn id="1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1" ySplit="1" topLeftCell="P2" activePane="bottomRight" state="frozen"/>
      <selection pane="topLeft" activeCell="A1" activeCellId="0" sqref="A1"/>
      <selection pane="topRight" activeCell="P1" activeCellId="0" sqref="P1"/>
      <selection pane="bottomLeft" activeCell="A2" activeCellId="0" sqref="A2"/>
      <selection pane="bottomRight" activeCell="P20" activeCellId="1" sqref="L46:O46 P20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24.34"/>
    <col collapsed="false" customWidth="true" hidden="false" outlineLevel="0" max="2" min="2" style="1" width="7.22"/>
    <col collapsed="false" customWidth="true" hidden="false" outlineLevel="0" max="3" min="3" style="1" width="5.25"/>
    <col collapsed="false" customWidth="true" hidden="false" outlineLevel="0" max="4" min="4" style="1" width="7.8"/>
    <col collapsed="false" customWidth="true" hidden="false" outlineLevel="0" max="5" min="5" style="1" width="6.35"/>
    <col collapsed="false" customWidth="true" hidden="false" outlineLevel="0" max="6" min="6" style="1" width="7.68"/>
    <col collapsed="false" customWidth="true" hidden="false" outlineLevel="0" max="7" min="7" style="1" width="6.72"/>
    <col collapsed="false" customWidth="true" hidden="false" outlineLevel="0" max="9" min="8" style="1" width="5.06"/>
    <col collapsed="false" customWidth="true" hidden="false" outlineLevel="0" max="10" min="10" style="1" width="6.12"/>
    <col collapsed="false" customWidth="true" hidden="false" outlineLevel="0" max="11" min="11" style="1" width="5.74"/>
    <col collapsed="false" customWidth="true" hidden="false" outlineLevel="0" max="13" min="12" style="1" width="7.8"/>
    <col collapsed="false" customWidth="true" hidden="false" outlineLevel="0" max="14" min="14" style="1" width="5.43"/>
    <col collapsed="false" customWidth="true" hidden="false" outlineLevel="0" max="15" min="15" style="1" width="8.3"/>
    <col collapsed="false" customWidth="true" hidden="false" outlineLevel="0" max="17" min="17" style="1" width="36.72"/>
    <col collapsed="false" customWidth="true" hidden="false" outlineLevel="0" max="18" min="18" style="1" width="2.38"/>
    <col collapsed="false" customWidth="true" hidden="false" outlineLevel="0" max="19" min="19" style="1" width="31.5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3.8" hidden="false" customHeight="false" outlineLevel="0" collapsed="false">
      <c r="A2" s="4" t="s">
        <v>15</v>
      </c>
      <c r="B2" s="5" t="s">
        <v>16</v>
      </c>
      <c r="C2" s="5" t="s">
        <v>16</v>
      </c>
      <c r="D2" s="5" t="s">
        <v>16</v>
      </c>
      <c r="E2" s="5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Q2" s="7" t="s">
        <v>10</v>
      </c>
    </row>
    <row r="3" customFormat="false" ht="13.8" hidden="false" customHeight="false" outlineLevel="0" collapsed="false">
      <c r="A3" s="4" t="s">
        <v>17</v>
      </c>
      <c r="B3" s="6" t="s">
        <v>16</v>
      </c>
      <c r="C3" s="6" t="s">
        <v>16</v>
      </c>
      <c r="D3" s="6" t="s">
        <v>16</v>
      </c>
      <c r="E3" s="6" t="s">
        <v>16</v>
      </c>
      <c r="F3" s="6"/>
      <c r="G3" s="6"/>
      <c r="H3" s="6"/>
      <c r="I3" s="6"/>
      <c r="J3" s="6"/>
      <c r="K3" s="6"/>
      <c r="L3" s="6"/>
      <c r="M3" s="6"/>
      <c r="N3" s="6"/>
      <c r="O3" s="6"/>
      <c r="Q3" s="1" t="s">
        <v>18</v>
      </c>
      <c r="R3" s="1" t="n">
        <v>3</v>
      </c>
      <c r="S3" s="8" t="s">
        <v>19</v>
      </c>
    </row>
    <row r="4" customFormat="false" ht="13.8" hidden="false" customHeight="false" outlineLevel="0" collapsed="false">
      <c r="A4" s="4" t="s">
        <v>20</v>
      </c>
      <c r="B4" s="6"/>
      <c r="C4" s="6"/>
      <c r="D4" s="6"/>
      <c r="E4" s="5" t="s">
        <v>16</v>
      </c>
      <c r="F4" s="6"/>
      <c r="G4" s="6"/>
      <c r="H4" s="6"/>
      <c r="I4" s="6"/>
      <c r="J4" s="6"/>
      <c r="K4" s="6"/>
      <c r="L4" s="6"/>
      <c r="M4" s="6"/>
      <c r="N4" s="6"/>
      <c r="O4" s="6"/>
      <c r="Q4" s="1" t="s">
        <v>21</v>
      </c>
      <c r="R4" s="1" t="n">
        <v>1</v>
      </c>
      <c r="S4" s="9" t="s">
        <v>22</v>
      </c>
    </row>
    <row r="5" customFormat="false" ht="12.8" hidden="false" customHeight="false" outlineLevel="0" collapsed="false">
      <c r="A5" s="4" t="s">
        <v>23</v>
      </c>
      <c r="B5" s="6" t="s">
        <v>16</v>
      </c>
      <c r="C5" s="5" t="s">
        <v>16</v>
      </c>
      <c r="D5" s="5" t="s">
        <v>16</v>
      </c>
      <c r="E5" s="6" t="s">
        <v>16</v>
      </c>
      <c r="F5" s="6"/>
      <c r="G5" s="6"/>
      <c r="H5" s="6"/>
      <c r="I5" s="6"/>
      <c r="J5" s="6"/>
      <c r="K5" s="6"/>
      <c r="L5" s="6"/>
      <c r="M5" s="6"/>
      <c r="N5" s="6"/>
      <c r="O5" s="6"/>
      <c r="Q5" s="1" t="s">
        <v>24</v>
      </c>
      <c r="R5" s="1" t="n">
        <v>3</v>
      </c>
      <c r="S5" s="1" t="s">
        <v>25</v>
      </c>
    </row>
    <row r="6" customFormat="false" ht="12.8" hidden="false" customHeight="false" outlineLevel="0" collapsed="false">
      <c r="A6" s="4" t="s">
        <v>26</v>
      </c>
      <c r="B6" s="6" t="s">
        <v>16</v>
      </c>
      <c r="C6" s="6" t="s">
        <v>16</v>
      </c>
      <c r="D6" s="6" t="s">
        <v>16</v>
      </c>
      <c r="E6" s="6" t="s">
        <v>16</v>
      </c>
      <c r="F6" s="6"/>
      <c r="G6" s="6"/>
      <c r="H6" s="6"/>
      <c r="I6" s="6"/>
      <c r="J6" s="6"/>
      <c r="K6" s="6"/>
      <c r="L6" s="6"/>
      <c r="M6" s="6"/>
      <c r="N6" s="6"/>
      <c r="O6" s="6"/>
      <c r="Q6" s="1" t="s">
        <v>27</v>
      </c>
      <c r="R6" s="1" t="n">
        <v>3</v>
      </c>
      <c r="S6" s="1" t="s">
        <v>28</v>
      </c>
    </row>
    <row r="7" customFormat="false" ht="12.8" hidden="false" customHeight="false" outlineLevel="0" collapsed="false">
      <c r="A7" s="4" t="s">
        <v>29</v>
      </c>
      <c r="B7" s="5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3.8" hidden="false" customHeight="false" outlineLevel="0" collapsed="false">
      <c r="A8" s="4" t="s">
        <v>30</v>
      </c>
      <c r="B8" s="5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Q8" s="7" t="s">
        <v>13</v>
      </c>
    </row>
    <row r="9" customFormat="false" ht="12.8" hidden="false" customHeight="false" outlineLevel="0" collapsed="false">
      <c r="A9" s="4" t="s">
        <v>31</v>
      </c>
      <c r="B9" s="6" t="s">
        <v>16</v>
      </c>
      <c r="C9" s="6" t="s">
        <v>16</v>
      </c>
      <c r="D9" s="6" t="s">
        <v>16</v>
      </c>
      <c r="E9" s="6" t="s">
        <v>16</v>
      </c>
      <c r="F9" s="6"/>
      <c r="G9" s="6"/>
      <c r="H9" s="6"/>
      <c r="I9" s="6"/>
      <c r="J9" s="6"/>
      <c r="K9" s="6"/>
      <c r="L9" s="6"/>
      <c r="M9" s="6"/>
      <c r="N9" s="6"/>
      <c r="O9" s="6"/>
      <c r="Q9" s="1" t="s">
        <v>32</v>
      </c>
      <c r="R9" s="1" t="n">
        <v>3</v>
      </c>
      <c r="S9" s="1" t="s">
        <v>19</v>
      </c>
    </row>
    <row r="10" customFormat="false" ht="13.8" hidden="false" customHeight="false" outlineLevel="0" collapsed="false">
      <c r="A10" s="4" t="s">
        <v>33</v>
      </c>
      <c r="B10" s="6"/>
      <c r="C10" s="6"/>
      <c r="D10" s="6"/>
      <c r="E10" s="5" t="s">
        <v>16</v>
      </c>
      <c r="F10" s="6"/>
      <c r="G10" s="6"/>
      <c r="H10" s="6"/>
      <c r="I10" s="6"/>
      <c r="J10" s="6"/>
      <c r="K10" s="6"/>
      <c r="L10" s="6"/>
      <c r="M10" s="6"/>
      <c r="N10" s="6"/>
      <c r="O10" s="6"/>
      <c r="Q10" s="1" t="s">
        <v>34</v>
      </c>
      <c r="R10" s="1" t="n">
        <v>1</v>
      </c>
      <c r="S10" s="9" t="s">
        <v>22</v>
      </c>
    </row>
    <row r="11" customFormat="false" ht="12.8" hidden="false" customHeight="false" outlineLevel="0" collapsed="false">
      <c r="A11" s="4" t="s">
        <v>35</v>
      </c>
      <c r="B11" s="6"/>
      <c r="C11" s="6"/>
      <c r="D11" s="6"/>
      <c r="E11" s="6" t="s">
        <v>16</v>
      </c>
      <c r="F11" s="6"/>
      <c r="G11" s="6"/>
      <c r="H11" s="6"/>
      <c r="I11" s="6"/>
      <c r="J11" s="6"/>
      <c r="K11" s="6"/>
      <c r="L11" s="6"/>
      <c r="M11" s="6"/>
      <c r="N11" s="6"/>
      <c r="O11" s="6"/>
      <c r="Q11" s="1" t="s">
        <v>36</v>
      </c>
      <c r="R11" s="1" t="n">
        <v>5</v>
      </c>
      <c r="S11" s="1" t="s">
        <v>37</v>
      </c>
    </row>
    <row r="12" customFormat="false" ht="12.8" hidden="false" customHeight="false" outlineLevel="0" collapsed="false">
      <c r="A12" s="4" t="s">
        <v>38</v>
      </c>
      <c r="B12" s="6"/>
      <c r="C12" s="6"/>
      <c r="D12" s="6"/>
      <c r="E12" s="6"/>
      <c r="F12" s="5" t="s">
        <v>16</v>
      </c>
      <c r="G12" s="5" t="s">
        <v>16</v>
      </c>
      <c r="H12" s="6"/>
      <c r="I12" s="6"/>
      <c r="J12" s="6"/>
      <c r="K12" s="6"/>
      <c r="L12" s="6"/>
      <c r="M12" s="6"/>
      <c r="N12" s="6"/>
      <c r="O12" s="6"/>
      <c r="Q12" s="1" t="s">
        <v>39</v>
      </c>
      <c r="R12" s="1" t="n">
        <v>2</v>
      </c>
      <c r="S12" s="1" t="s">
        <v>40</v>
      </c>
    </row>
    <row r="13" customFormat="false" ht="12.8" hidden="false" customHeight="false" outlineLevel="0" collapsed="false">
      <c r="A13" s="4" t="s">
        <v>41</v>
      </c>
      <c r="B13" s="6"/>
      <c r="C13" s="6"/>
      <c r="D13" s="6"/>
      <c r="E13" s="6"/>
      <c r="F13" s="6" t="s">
        <v>16</v>
      </c>
      <c r="G13" s="6" t="s">
        <v>16</v>
      </c>
      <c r="H13" s="6"/>
      <c r="I13" s="6"/>
      <c r="J13" s="6"/>
      <c r="K13" s="6"/>
      <c r="L13" s="6"/>
      <c r="M13" s="6"/>
      <c r="N13" s="6"/>
      <c r="O13" s="6"/>
      <c r="Q13" s="1" t="s">
        <v>42</v>
      </c>
      <c r="R13" s="1" t="n">
        <v>1</v>
      </c>
      <c r="S13" s="1" t="s">
        <v>43</v>
      </c>
    </row>
    <row r="14" customFormat="false" ht="24.05" hidden="false" customHeight="false" outlineLevel="0" collapsed="false">
      <c r="A14" s="10" t="s">
        <v>44</v>
      </c>
      <c r="B14" s="6"/>
      <c r="C14" s="6"/>
      <c r="D14" s="6"/>
      <c r="E14" s="6"/>
      <c r="F14" s="6" t="s">
        <v>16</v>
      </c>
      <c r="G14" s="6" t="s">
        <v>16</v>
      </c>
      <c r="H14" s="6"/>
      <c r="I14" s="6"/>
      <c r="J14" s="6"/>
      <c r="K14" s="6"/>
      <c r="L14" s="6"/>
      <c r="M14" s="6"/>
      <c r="N14" s="6"/>
      <c r="O14" s="6"/>
      <c r="Q14" s="1" t="s">
        <v>45</v>
      </c>
      <c r="R14" s="1" t="n">
        <v>1</v>
      </c>
      <c r="S14" s="1" t="s">
        <v>46</v>
      </c>
    </row>
    <row r="15" customFormat="false" ht="12.8" hidden="false" customHeight="false" outlineLevel="0" collapsed="false">
      <c r="A15" s="4" t="s">
        <v>47</v>
      </c>
      <c r="B15" s="6"/>
      <c r="C15" s="6"/>
      <c r="D15" s="6"/>
      <c r="E15" s="6"/>
      <c r="F15" s="5" t="s">
        <v>16</v>
      </c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3.8" hidden="false" customHeight="false" outlineLevel="0" collapsed="false">
      <c r="A16" s="4" t="s">
        <v>48</v>
      </c>
      <c r="B16" s="6"/>
      <c r="C16" s="6"/>
      <c r="D16" s="6"/>
      <c r="E16" s="6"/>
      <c r="F16" s="5" t="s">
        <v>16</v>
      </c>
      <c r="G16" s="6"/>
      <c r="H16" s="6"/>
      <c r="I16" s="6"/>
      <c r="J16" s="6"/>
      <c r="K16" s="6"/>
      <c r="L16" s="6"/>
      <c r="M16" s="6"/>
      <c r="N16" s="6"/>
      <c r="O16" s="6"/>
      <c r="Q16" s="7" t="s">
        <v>5</v>
      </c>
    </row>
    <row r="17" customFormat="false" ht="12.8" hidden="false" customHeight="false" outlineLevel="0" collapsed="false">
      <c r="A17" s="4" t="s">
        <v>49</v>
      </c>
      <c r="B17" s="6"/>
      <c r="C17" s="6"/>
      <c r="D17" s="6"/>
      <c r="E17" s="6"/>
      <c r="F17" s="5" t="s">
        <v>16</v>
      </c>
      <c r="G17" s="6"/>
      <c r="H17" s="6"/>
      <c r="I17" s="6"/>
      <c r="J17" s="6"/>
      <c r="K17" s="6"/>
      <c r="L17" s="6"/>
      <c r="M17" s="6"/>
      <c r="N17" s="6"/>
      <c r="O17" s="6"/>
      <c r="Q17" s="1" t="s">
        <v>18</v>
      </c>
      <c r="R17" s="1" t="n">
        <v>3</v>
      </c>
      <c r="S17" s="1" t="s">
        <v>19</v>
      </c>
    </row>
    <row r="18" customFormat="false" ht="13.8" hidden="false" customHeight="false" outlineLevel="0" collapsed="false">
      <c r="A18" s="4" t="s">
        <v>50</v>
      </c>
      <c r="B18" s="6"/>
      <c r="C18" s="6"/>
      <c r="D18" s="6"/>
      <c r="E18" s="6"/>
      <c r="F18" s="6" t="s">
        <v>16</v>
      </c>
      <c r="G18" s="6"/>
      <c r="H18" s="6"/>
      <c r="I18" s="6"/>
      <c r="J18" s="6"/>
      <c r="K18" s="6"/>
      <c r="L18" s="6"/>
      <c r="M18" s="6"/>
      <c r="N18" s="6"/>
      <c r="O18" s="6"/>
      <c r="Q18" s="1" t="s">
        <v>21</v>
      </c>
      <c r="R18" s="1" t="n">
        <v>1</v>
      </c>
      <c r="S18" s="9" t="s">
        <v>22</v>
      </c>
    </row>
    <row r="19" customFormat="false" ht="12.8" hidden="false" customHeight="false" outlineLevel="0" collapsed="false">
      <c r="A19" s="4" t="s">
        <v>51</v>
      </c>
      <c r="B19" s="6"/>
      <c r="C19" s="6"/>
      <c r="D19" s="6"/>
      <c r="E19" s="6"/>
      <c r="F19" s="6"/>
      <c r="G19" s="5" t="s">
        <v>16</v>
      </c>
      <c r="H19" s="5" t="s">
        <v>16</v>
      </c>
      <c r="I19" s="5" t="s">
        <v>16</v>
      </c>
      <c r="J19" s="5" t="s">
        <v>16</v>
      </c>
      <c r="K19" s="6"/>
      <c r="L19" s="6"/>
      <c r="M19" s="6"/>
      <c r="N19" s="6"/>
      <c r="O19" s="6"/>
      <c r="Q19" s="1" t="s">
        <v>52</v>
      </c>
      <c r="R19" s="1" t="n">
        <v>5</v>
      </c>
      <c r="S19" s="1" t="s">
        <v>53</v>
      </c>
    </row>
    <row r="20" customFormat="false" ht="12.8" hidden="false" customHeight="false" outlineLevel="0" collapsed="false">
      <c r="A20" s="4" t="s">
        <v>54</v>
      </c>
      <c r="B20" s="6"/>
      <c r="C20" s="6"/>
      <c r="D20" s="6"/>
      <c r="E20" s="6"/>
      <c r="F20" s="6"/>
      <c r="G20" s="5" t="s">
        <v>16</v>
      </c>
      <c r="H20" s="6" t="s">
        <v>16</v>
      </c>
      <c r="I20" s="6" t="s">
        <v>16</v>
      </c>
      <c r="J20" s="6"/>
      <c r="K20" s="6"/>
      <c r="L20" s="6"/>
      <c r="M20" s="6"/>
      <c r="N20" s="6"/>
      <c r="O20" s="6"/>
      <c r="Q20" s="1" t="s">
        <v>55</v>
      </c>
      <c r="R20" s="1" t="n">
        <v>3</v>
      </c>
      <c r="S20" s="1" t="s">
        <v>56</v>
      </c>
    </row>
    <row r="21" customFormat="false" ht="12.8" hidden="false" customHeight="false" outlineLevel="0" collapsed="false">
      <c r="A21" s="4" t="s">
        <v>57</v>
      </c>
      <c r="B21" s="6" t="s">
        <v>16</v>
      </c>
      <c r="C21" s="5" t="s">
        <v>16</v>
      </c>
      <c r="D21" s="5" t="s">
        <v>16</v>
      </c>
      <c r="E21" s="5" t="s">
        <v>16</v>
      </c>
      <c r="F21" s="5" t="s">
        <v>16</v>
      </c>
      <c r="G21" s="5" t="s">
        <v>16</v>
      </c>
      <c r="H21" s="5" t="s">
        <v>16</v>
      </c>
      <c r="I21" s="5" t="s">
        <v>16</v>
      </c>
      <c r="J21" s="5" t="s">
        <v>16</v>
      </c>
      <c r="K21" s="5" t="s">
        <v>16</v>
      </c>
      <c r="L21" s="5" t="s">
        <v>16</v>
      </c>
      <c r="M21" s="5" t="s">
        <v>16</v>
      </c>
      <c r="N21" s="5" t="s">
        <v>16</v>
      </c>
      <c r="O21" s="6" t="s">
        <v>16</v>
      </c>
      <c r="Q21" s="11" t="s">
        <v>58</v>
      </c>
      <c r="R21" s="1" t="n">
        <v>2</v>
      </c>
      <c r="S21" s="1" t="s">
        <v>59</v>
      </c>
    </row>
    <row r="22" customFormat="false" ht="12.8" hidden="false" customHeight="false" outlineLevel="0" collapsed="false">
      <c r="A22" s="4" t="s">
        <v>60</v>
      </c>
      <c r="B22" s="6"/>
      <c r="C22" s="6"/>
      <c r="D22" s="6"/>
      <c r="E22" s="6"/>
      <c r="F22" s="6"/>
      <c r="G22" s="5" t="s">
        <v>16</v>
      </c>
      <c r="H22" s="5" t="s">
        <v>16</v>
      </c>
      <c r="I22" s="5" t="s">
        <v>16</v>
      </c>
      <c r="J22" s="6"/>
      <c r="K22" s="6"/>
      <c r="L22" s="6"/>
      <c r="M22" s="6"/>
      <c r="N22" s="6"/>
      <c r="O22" s="6"/>
      <c r="Q22" s="11" t="s">
        <v>61</v>
      </c>
      <c r="R22" s="1" t="n">
        <v>2</v>
      </c>
      <c r="S22" s="1" t="s">
        <v>62</v>
      </c>
    </row>
    <row r="23" customFormat="false" ht="12.8" hidden="false" customHeight="false" outlineLevel="0" collapsed="false">
      <c r="A23" s="4" t="s">
        <v>63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 t="s">
        <v>16</v>
      </c>
      <c r="O23" s="6"/>
      <c r="Q23" s="11" t="s">
        <v>64</v>
      </c>
      <c r="R23" s="1" t="n">
        <v>3</v>
      </c>
      <c r="S23" s="1" t="s">
        <v>65</v>
      </c>
    </row>
    <row r="24" customFormat="false" ht="12.8" hidden="false" customHeight="false" outlineLevel="0" collapsed="false">
      <c r="A24" s="4" t="s">
        <v>66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 t="s">
        <v>16</v>
      </c>
      <c r="O24" s="6"/>
    </row>
    <row r="25" customFormat="false" ht="13.8" hidden="false" customHeight="false" outlineLevel="0" collapsed="false">
      <c r="A25" s="4" t="s">
        <v>67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 t="s">
        <v>16</v>
      </c>
      <c r="O25" s="6"/>
      <c r="Q25" s="7" t="s">
        <v>68</v>
      </c>
    </row>
    <row r="26" customFormat="false" ht="12.8" hidden="false" customHeight="false" outlineLevel="0" collapsed="false">
      <c r="A26" s="4" t="s">
        <v>69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 t="s">
        <v>16</v>
      </c>
      <c r="O26" s="6"/>
      <c r="Q26" s="1" t="s">
        <v>32</v>
      </c>
      <c r="R26" s="1" t="n">
        <v>3</v>
      </c>
      <c r="S26" s="1" t="s">
        <v>19</v>
      </c>
    </row>
    <row r="27" customFormat="false" ht="13.8" hidden="false" customHeight="false" outlineLevel="0" collapsed="false">
      <c r="A27" s="4" t="s">
        <v>70</v>
      </c>
      <c r="B27" s="6"/>
      <c r="C27" s="6"/>
      <c r="D27" s="6"/>
      <c r="E27" s="6"/>
      <c r="F27" s="6"/>
      <c r="G27" s="6"/>
      <c r="H27" s="6"/>
      <c r="I27" s="6"/>
      <c r="J27" s="6"/>
      <c r="K27" s="5" t="s">
        <v>16</v>
      </c>
      <c r="L27" s="6"/>
      <c r="M27" s="6"/>
      <c r="N27" s="6"/>
      <c r="O27" s="6"/>
      <c r="Q27" s="1" t="s">
        <v>34</v>
      </c>
      <c r="R27" s="1" t="n">
        <v>1</v>
      </c>
      <c r="S27" s="9" t="s">
        <v>22</v>
      </c>
    </row>
    <row r="28" customFormat="false" ht="12.8" hidden="false" customHeight="false" outlineLevel="0" collapsed="false">
      <c r="A28" s="4" t="s">
        <v>71</v>
      </c>
      <c r="B28" s="6"/>
      <c r="C28" s="6"/>
      <c r="D28" s="6"/>
      <c r="E28" s="6"/>
      <c r="F28" s="6"/>
      <c r="G28" s="6"/>
      <c r="H28" s="6"/>
      <c r="I28" s="6"/>
      <c r="J28" s="6"/>
      <c r="K28" s="5" t="s">
        <v>16</v>
      </c>
      <c r="L28" s="6"/>
      <c r="M28" s="6"/>
      <c r="N28" s="6"/>
      <c r="O28" s="6"/>
      <c r="Q28" s="1" t="s">
        <v>72</v>
      </c>
      <c r="R28" s="1" t="n">
        <v>5</v>
      </c>
      <c r="S28" s="1" t="s">
        <v>73</v>
      </c>
    </row>
    <row r="29" customFormat="false" ht="12.8" hidden="false" customHeight="false" outlineLevel="0" collapsed="false">
      <c r="A29" s="4" t="s">
        <v>74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 t="s">
        <v>16</v>
      </c>
      <c r="Q29" s="1" t="s">
        <v>75</v>
      </c>
      <c r="R29" s="1" t="n">
        <v>1</v>
      </c>
      <c r="S29" s="1" t="s">
        <v>76</v>
      </c>
    </row>
    <row r="30" customFormat="false" ht="12.8" hidden="false" customHeight="false" outlineLevel="0" collapsed="false">
      <c r="A30" s="4" t="s">
        <v>77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 t="s">
        <v>16</v>
      </c>
      <c r="Q30" s="1" t="s">
        <v>78</v>
      </c>
      <c r="R30" s="1" t="n">
        <v>3</v>
      </c>
      <c r="S30" s="1" t="s">
        <v>79</v>
      </c>
    </row>
    <row r="31" customFormat="false" ht="12.8" hidden="false" customHeight="false" outlineLevel="0" collapsed="false">
      <c r="A31" s="4" t="s">
        <v>80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 t="s">
        <v>16</v>
      </c>
    </row>
    <row r="32" customFormat="false" ht="13.8" hidden="false" customHeight="false" outlineLevel="0" collapsed="false">
      <c r="A32" s="4" t="s">
        <v>81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 t="s">
        <v>16</v>
      </c>
      <c r="Q32" s="7" t="s">
        <v>6</v>
      </c>
    </row>
    <row r="33" customFormat="false" ht="12.8" hidden="false" customHeight="false" outlineLevel="0" collapsed="false">
      <c r="A33" s="4" t="s">
        <v>82</v>
      </c>
      <c r="B33" s="6" t="s">
        <v>16</v>
      </c>
      <c r="C33" s="6" t="s">
        <v>16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16</v>
      </c>
      <c r="J33" s="6" t="s">
        <v>16</v>
      </c>
      <c r="K33" s="5" t="s">
        <v>16</v>
      </c>
      <c r="L33" s="5" t="s">
        <v>16</v>
      </c>
      <c r="M33" s="5" t="s">
        <v>16</v>
      </c>
      <c r="N33" s="6" t="s">
        <v>16</v>
      </c>
      <c r="O33" s="6" t="s">
        <v>16</v>
      </c>
      <c r="Q33" s="1" t="s">
        <v>32</v>
      </c>
      <c r="R33" s="1" t="n">
        <v>3</v>
      </c>
      <c r="S33" s="1" t="s">
        <v>19</v>
      </c>
    </row>
    <row r="34" customFormat="false" ht="13.8" hidden="false" customHeight="false" outlineLevel="0" collapsed="false">
      <c r="Q34" s="1" t="s">
        <v>34</v>
      </c>
      <c r="R34" s="1" t="n">
        <v>1</v>
      </c>
      <c r="S34" s="9" t="s">
        <v>22</v>
      </c>
    </row>
    <row r="35" customFormat="false" ht="12.8" hidden="false" customHeight="false" outlineLevel="0" collapsed="false">
      <c r="Q35" s="1" t="s">
        <v>52</v>
      </c>
      <c r="R35" s="1" t="n">
        <v>5</v>
      </c>
      <c r="S35" s="1" t="s">
        <v>53</v>
      </c>
    </row>
    <row r="36" customFormat="false" ht="12.8" hidden="false" customHeight="false" outlineLevel="0" collapsed="false">
      <c r="Q36" s="1" t="s">
        <v>72</v>
      </c>
      <c r="R36" s="1" t="n">
        <v>5</v>
      </c>
      <c r="S36" s="1" t="s">
        <v>73</v>
      </c>
    </row>
    <row r="37" customFormat="false" ht="12.8" hidden="false" customHeight="false" outlineLevel="0" collapsed="false">
      <c r="Q37" s="1" t="s">
        <v>75</v>
      </c>
      <c r="R37" s="1" t="n">
        <v>1</v>
      </c>
      <c r="S37" s="1" t="s">
        <v>76</v>
      </c>
    </row>
    <row r="38" customFormat="false" ht="12.8" hidden="false" customHeight="false" outlineLevel="0" collapsed="false">
      <c r="A38" s="2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  <c r="K38" s="3" t="s">
        <v>10</v>
      </c>
      <c r="L38" s="3" t="s">
        <v>11</v>
      </c>
      <c r="M38" s="3" t="s">
        <v>12</v>
      </c>
      <c r="N38" s="3" t="s">
        <v>13</v>
      </c>
      <c r="O38" s="3" t="s">
        <v>14</v>
      </c>
      <c r="Q38" s="1" t="s">
        <v>78</v>
      </c>
      <c r="R38" s="1" t="n">
        <v>3</v>
      </c>
      <c r="S38" s="1" t="s">
        <v>79</v>
      </c>
    </row>
    <row r="39" customFormat="false" ht="12.8" hidden="false" customHeight="false" outlineLevel="0" collapsed="false">
      <c r="A39" s="4" t="s">
        <v>30</v>
      </c>
      <c r="B39" s="5" t="s">
        <v>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3.8" hidden="false" customHeight="false" outlineLevel="0" collapsed="false">
      <c r="A40" s="4" t="s">
        <v>33</v>
      </c>
      <c r="B40" s="6"/>
      <c r="C40" s="6"/>
      <c r="D40" s="6"/>
      <c r="E40" s="5" t="s">
        <v>16</v>
      </c>
      <c r="F40" s="6"/>
      <c r="G40" s="6"/>
      <c r="H40" s="6"/>
      <c r="I40" s="6"/>
      <c r="J40" s="6"/>
      <c r="K40" s="6"/>
      <c r="L40" s="6"/>
      <c r="M40" s="6"/>
      <c r="N40" s="6"/>
      <c r="O40" s="6"/>
      <c r="Q40" s="7" t="s">
        <v>11</v>
      </c>
    </row>
    <row r="41" customFormat="false" ht="12.8" hidden="false" customHeight="false" outlineLevel="0" collapsed="false">
      <c r="A41" s="4" t="s">
        <v>48</v>
      </c>
      <c r="B41" s="6"/>
      <c r="C41" s="6"/>
      <c r="D41" s="6"/>
      <c r="E41" s="6"/>
      <c r="F41" s="5" t="s">
        <v>16</v>
      </c>
      <c r="G41" s="6"/>
      <c r="H41" s="6"/>
      <c r="I41" s="6"/>
      <c r="J41" s="6"/>
      <c r="K41" s="6"/>
      <c r="L41" s="6"/>
      <c r="M41" s="6"/>
      <c r="N41" s="6"/>
      <c r="O41" s="6"/>
      <c r="Q41" s="1" t="s">
        <v>18</v>
      </c>
      <c r="R41" s="1" t="n">
        <v>3</v>
      </c>
      <c r="S41" s="1" t="s">
        <v>19</v>
      </c>
    </row>
    <row r="42" customFormat="false" ht="13.8" hidden="false" customHeight="false" outlineLevel="0" collapsed="false">
      <c r="A42" s="4" t="s">
        <v>71</v>
      </c>
      <c r="B42" s="6"/>
      <c r="C42" s="6"/>
      <c r="D42" s="6"/>
      <c r="E42" s="6"/>
      <c r="F42" s="6"/>
      <c r="G42" s="6"/>
      <c r="H42" s="6"/>
      <c r="I42" s="6"/>
      <c r="J42" s="6"/>
      <c r="K42" s="5" t="s">
        <v>16</v>
      </c>
      <c r="L42" s="6"/>
      <c r="M42" s="6"/>
      <c r="N42" s="6"/>
      <c r="O42" s="6"/>
      <c r="Q42" s="1" t="s">
        <v>21</v>
      </c>
      <c r="R42" s="1" t="n">
        <v>1</v>
      </c>
      <c r="S42" s="9" t="s">
        <v>22</v>
      </c>
    </row>
    <row r="43" customFormat="false" ht="12.8" hidden="false" customHeight="false" outlineLevel="0" collapsed="false">
      <c r="A43" s="4" t="s">
        <v>50</v>
      </c>
      <c r="B43" s="6"/>
      <c r="C43" s="6"/>
      <c r="D43" s="6"/>
      <c r="E43" s="6"/>
      <c r="F43" s="6" t="s">
        <v>16</v>
      </c>
      <c r="G43" s="6"/>
      <c r="H43" s="6"/>
      <c r="I43" s="6"/>
      <c r="J43" s="6"/>
      <c r="K43" s="6"/>
      <c r="L43" s="6"/>
      <c r="M43" s="6"/>
      <c r="N43" s="6"/>
      <c r="O43" s="6"/>
    </row>
    <row r="44" customFormat="false" ht="13.8" hidden="false" customHeight="false" outlineLevel="0" collapsed="false">
      <c r="A44" s="4" t="s">
        <v>49</v>
      </c>
      <c r="B44" s="6"/>
      <c r="C44" s="6"/>
      <c r="D44" s="6"/>
      <c r="E44" s="6"/>
      <c r="F44" s="5" t="s">
        <v>16</v>
      </c>
      <c r="G44" s="6"/>
      <c r="H44" s="6"/>
      <c r="I44" s="6"/>
      <c r="J44" s="6"/>
      <c r="K44" s="6"/>
      <c r="L44" s="6"/>
      <c r="M44" s="6"/>
      <c r="N44" s="6"/>
      <c r="O44" s="6"/>
      <c r="Q44" s="7" t="s">
        <v>83</v>
      </c>
    </row>
    <row r="45" customFormat="false" ht="12.8" hidden="false" customHeight="false" outlineLevel="0" collapsed="false">
      <c r="A45" s="4" t="s">
        <v>20</v>
      </c>
      <c r="B45" s="6"/>
      <c r="C45" s="6"/>
      <c r="D45" s="6"/>
      <c r="E45" s="5" t="s">
        <v>16</v>
      </c>
      <c r="F45" s="6"/>
      <c r="G45" s="6"/>
      <c r="H45" s="6"/>
      <c r="I45" s="6"/>
      <c r="J45" s="6"/>
      <c r="K45" s="6"/>
      <c r="L45" s="6"/>
      <c r="M45" s="6"/>
      <c r="N45" s="6"/>
      <c r="O45" s="6"/>
      <c r="Q45" s="1" t="s">
        <v>18</v>
      </c>
      <c r="R45" s="1" t="n">
        <v>3</v>
      </c>
      <c r="S45" s="1" t="s">
        <v>19</v>
      </c>
    </row>
    <row r="46" customFormat="false" ht="13.8" hidden="false" customHeight="false" outlineLevel="0" collapsed="false">
      <c r="A46" s="4" t="s">
        <v>41</v>
      </c>
      <c r="B46" s="6"/>
      <c r="C46" s="6"/>
      <c r="D46" s="6"/>
      <c r="E46" s="6"/>
      <c r="F46" s="6" t="s">
        <v>16</v>
      </c>
      <c r="G46" s="6" t="s">
        <v>16</v>
      </c>
      <c r="H46" s="6"/>
      <c r="I46" s="6"/>
      <c r="J46" s="6"/>
      <c r="K46" s="6"/>
      <c r="L46" s="6"/>
      <c r="M46" s="6"/>
      <c r="N46" s="6"/>
      <c r="O46" s="6"/>
      <c r="Q46" s="1" t="s">
        <v>21</v>
      </c>
      <c r="R46" s="1" t="n">
        <v>1</v>
      </c>
      <c r="S46" s="9" t="s">
        <v>22</v>
      </c>
    </row>
    <row r="47" customFormat="false" ht="12.8" hidden="false" customHeight="false" outlineLevel="0" collapsed="false">
      <c r="A47" s="4" t="s">
        <v>81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 t="s">
        <v>16</v>
      </c>
    </row>
    <row r="48" customFormat="false" ht="13.8" hidden="false" customHeight="false" outlineLevel="0" collapsed="false">
      <c r="A48" s="4" t="s">
        <v>80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 t="s">
        <v>16</v>
      </c>
      <c r="Q48" s="7" t="s">
        <v>14</v>
      </c>
    </row>
    <row r="49" customFormat="false" ht="12.8" hidden="false" customHeight="false" outlineLevel="0" collapsed="false">
      <c r="A49" s="4" t="s">
        <v>51</v>
      </c>
      <c r="B49" s="6"/>
      <c r="C49" s="6"/>
      <c r="D49" s="6"/>
      <c r="E49" s="6"/>
      <c r="F49" s="6"/>
      <c r="G49" s="5" t="s">
        <v>16</v>
      </c>
      <c r="H49" s="5" t="s">
        <v>16</v>
      </c>
      <c r="I49" s="5" t="s">
        <v>16</v>
      </c>
      <c r="J49" s="5" t="s">
        <v>16</v>
      </c>
      <c r="K49" s="6"/>
      <c r="L49" s="6"/>
      <c r="M49" s="6"/>
      <c r="N49" s="6"/>
      <c r="O49" s="6"/>
      <c r="Q49" s="1" t="s">
        <v>18</v>
      </c>
      <c r="R49" s="1" t="n">
        <v>3</v>
      </c>
      <c r="S49" s="1" t="s">
        <v>19</v>
      </c>
    </row>
    <row r="50" customFormat="false" ht="13.8" hidden="false" customHeight="false" outlineLevel="0" collapsed="false">
      <c r="A50" s="4" t="s">
        <v>77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 t="s">
        <v>16</v>
      </c>
      <c r="Q50" s="1" t="s">
        <v>21</v>
      </c>
      <c r="R50" s="1" t="n">
        <v>1</v>
      </c>
      <c r="S50" s="9" t="s">
        <v>22</v>
      </c>
    </row>
    <row r="51" customFormat="false" ht="12.8" hidden="false" customHeight="false" outlineLevel="0" collapsed="false">
      <c r="A51" s="4" t="s">
        <v>47</v>
      </c>
      <c r="B51" s="6"/>
      <c r="C51" s="6"/>
      <c r="D51" s="6"/>
      <c r="E51" s="6"/>
      <c r="F51" s="5" t="s">
        <v>16</v>
      </c>
      <c r="G51" s="6"/>
      <c r="H51" s="6"/>
      <c r="I51" s="6"/>
      <c r="J51" s="6"/>
      <c r="K51" s="6"/>
      <c r="L51" s="6"/>
      <c r="M51" s="6"/>
      <c r="N51" s="6"/>
      <c r="O51" s="6"/>
      <c r="Q51" s="1" t="s">
        <v>84</v>
      </c>
      <c r="R51" s="1" t="n">
        <v>5</v>
      </c>
      <c r="S51" s="1" t="s">
        <v>85</v>
      </c>
    </row>
    <row r="52" customFormat="false" ht="12.8" hidden="false" customHeight="false" outlineLevel="0" collapsed="false">
      <c r="A52" s="4" t="s">
        <v>31</v>
      </c>
      <c r="B52" s="6" t="s">
        <v>16</v>
      </c>
      <c r="C52" s="6" t="s">
        <v>16</v>
      </c>
      <c r="D52" s="6" t="s">
        <v>16</v>
      </c>
      <c r="E52" s="6" t="s">
        <v>16</v>
      </c>
      <c r="F52" s="6"/>
      <c r="G52" s="6"/>
      <c r="H52" s="6"/>
      <c r="I52" s="6"/>
      <c r="J52" s="6"/>
      <c r="K52" s="6"/>
      <c r="L52" s="6"/>
      <c r="M52" s="6"/>
      <c r="N52" s="6"/>
      <c r="O52" s="6"/>
      <c r="Q52" s="1" t="s">
        <v>86</v>
      </c>
      <c r="R52" s="1" t="n">
        <v>1</v>
      </c>
      <c r="S52" s="1" t="s">
        <v>87</v>
      </c>
    </row>
    <row r="53" customFormat="false" ht="12.8" hidden="false" customHeight="false" outlineLevel="0" collapsed="false">
      <c r="A53" s="4" t="s">
        <v>38</v>
      </c>
      <c r="B53" s="6"/>
      <c r="C53" s="6"/>
      <c r="D53" s="6"/>
      <c r="E53" s="6"/>
      <c r="F53" s="5" t="s">
        <v>16</v>
      </c>
      <c r="G53" s="5" t="s">
        <v>16</v>
      </c>
      <c r="H53" s="6"/>
      <c r="I53" s="6"/>
      <c r="J53" s="6"/>
      <c r="K53" s="6"/>
      <c r="L53" s="6"/>
      <c r="M53" s="6"/>
      <c r="N53" s="6"/>
      <c r="O53" s="6"/>
      <c r="Q53" s="1" t="s">
        <v>88</v>
      </c>
      <c r="R53" s="1" t="n">
        <v>3</v>
      </c>
      <c r="S53" s="1" t="s">
        <v>89</v>
      </c>
    </row>
    <row r="54" customFormat="false" ht="12.8" hidden="false" customHeight="false" outlineLevel="0" collapsed="false">
      <c r="A54" s="4" t="s">
        <v>60</v>
      </c>
      <c r="B54" s="6"/>
      <c r="C54" s="6"/>
      <c r="D54" s="6"/>
      <c r="E54" s="6"/>
      <c r="F54" s="6"/>
      <c r="G54" s="5" t="s">
        <v>16</v>
      </c>
      <c r="H54" s="5" t="s">
        <v>16</v>
      </c>
      <c r="I54" s="5" t="s">
        <v>16</v>
      </c>
      <c r="J54" s="6"/>
      <c r="K54" s="6"/>
      <c r="L54" s="6"/>
      <c r="M54" s="6"/>
      <c r="N54" s="6"/>
      <c r="O54" s="6"/>
      <c r="Q54" s="1" t="s">
        <v>90</v>
      </c>
      <c r="R54" s="1" t="n">
        <v>3</v>
      </c>
      <c r="S54" s="1" t="s">
        <v>91</v>
      </c>
    </row>
    <row r="55" customFormat="false" ht="12.8" hidden="false" customHeight="false" outlineLevel="0" collapsed="false">
      <c r="A55" s="4" t="s">
        <v>67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5" t="s">
        <v>16</v>
      </c>
      <c r="O55" s="6"/>
    </row>
    <row r="56" customFormat="false" ht="13.8" hidden="false" customHeight="false" outlineLevel="0" collapsed="false">
      <c r="A56" s="4" t="s">
        <v>69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5" t="s">
        <v>16</v>
      </c>
      <c r="O56" s="6"/>
      <c r="Q56" s="7" t="s">
        <v>92</v>
      </c>
    </row>
    <row r="57" customFormat="false" ht="12.8" hidden="false" customHeight="false" outlineLevel="0" collapsed="false">
      <c r="A57" s="4" t="s">
        <v>57</v>
      </c>
      <c r="B57" s="6" t="s">
        <v>16</v>
      </c>
      <c r="C57" s="5" t="s">
        <v>16</v>
      </c>
      <c r="D57" s="5" t="s">
        <v>16</v>
      </c>
      <c r="E57" s="5" t="s">
        <v>16</v>
      </c>
      <c r="F57" s="5" t="s">
        <v>16</v>
      </c>
      <c r="G57" s="5" t="s">
        <v>16</v>
      </c>
      <c r="H57" s="5" t="s">
        <v>16</v>
      </c>
      <c r="I57" s="5" t="s">
        <v>16</v>
      </c>
      <c r="J57" s="5" t="s">
        <v>16</v>
      </c>
      <c r="K57" s="5" t="s">
        <v>16</v>
      </c>
      <c r="L57" s="5" t="s">
        <v>16</v>
      </c>
      <c r="M57" s="5" t="s">
        <v>16</v>
      </c>
      <c r="N57" s="5" t="s">
        <v>16</v>
      </c>
      <c r="O57" s="6" t="s">
        <v>16</v>
      </c>
      <c r="Q57" s="1" t="s">
        <v>32</v>
      </c>
      <c r="R57" s="1" t="n">
        <v>3</v>
      </c>
      <c r="S57" s="1" t="s">
        <v>19</v>
      </c>
    </row>
    <row r="58" customFormat="false" ht="13.8" hidden="false" customHeight="false" outlineLevel="0" collapsed="false">
      <c r="A58" s="4" t="s">
        <v>74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 t="s">
        <v>16</v>
      </c>
      <c r="Q58" s="1" t="s">
        <v>34</v>
      </c>
      <c r="R58" s="1" t="n">
        <v>1</v>
      </c>
      <c r="S58" s="9" t="s">
        <v>22</v>
      </c>
    </row>
    <row r="59" customFormat="false" ht="12.8" hidden="false" customHeight="false" outlineLevel="0" collapsed="false">
      <c r="A59" s="4" t="s">
        <v>35</v>
      </c>
      <c r="B59" s="6"/>
      <c r="C59" s="6"/>
      <c r="D59" s="6"/>
      <c r="E59" s="6" t="s">
        <v>16</v>
      </c>
      <c r="F59" s="6"/>
      <c r="G59" s="6"/>
      <c r="H59" s="6"/>
      <c r="I59" s="6"/>
      <c r="J59" s="6"/>
      <c r="K59" s="6"/>
      <c r="L59" s="6"/>
      <c r="M59" s="6"/>
      <c r="N59" s="6"/>
      <c r="O59" s="6"/>
      <c r="Q59" s="1" t="s">
        <v>93</v>
      </c>
      <c r="R59" s="1" t="n">
        <v>4</v>
      </c>
      <c r="S59" s="1" t="s">
        <v>94</v>
      </c>
    </row>
    <row r="60" customFormat="false" ht="24.05" hidden="false" customHeight="false" outlineLevel="0" collapsed="false">
      <c r="A60" s="10" t="s">
        <v>44</v>
      </c>
      <c r="B60" s="6"/>
      <c r="C60" s="6"/>
      <c r="D60" s="6"/>
      <c r="E60" s="6"/>
      <c r="F60" s="6" t="s">
        <v>16</v>
      </c>
      <c r="G60" s="6" t="s">
        <v>16</v>
      </c>
      <c r="H60" s="6"/>
      <c r="I60" s="6"/>
      <c r="J60" s="6"/>
      <c r="K60" s="6"/>
      <c r="L60" s="6"/>
      <c r="M60" s="6"/>
      <c r="N60" s="6"/>
      <c r="O60" s="6"/>
      <c r="Q60" s="1" t="s">
        <v>95</v>
      </c>
      <c r="R60" s="1" t="n">
        <v>4</v>
      </c>
      <c r="S60" s="1" t="s">
        <v>96</v>
      </c>
    </row>
    <row r="61" customFormat="false" ht="12.8" hidden="false" customHeight="false" outlineLevel="0" collapsed="false">
      <c r="A61" s="4" t="s">
        <v>63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5" t="s">
        <v>16</v>
      </c>
      <c r="O61" s="6"/>
      <c r="Q61" s="1" t="s">
        <v>97</v>
      </c>
      <c r="R61" s="1" t="n">
        <v>4</v>
      </c>
      <c r="S61" s="1" t="s">
        <v>98</v>
      </c>
    </row>
    <row r="62" customFormat="false" ht="12.8" hidden="false" customHeight="false" outlineLevel="0" collapsed="false">
      <c r="A62" s="4" t="s">
        <v>17</v>
      </c>
      <c r="B62" s="6" t="s">
        <v>16</v>
      </c>
      <c r="C62" s="6" t="s">
        <v>16</v>
      </c>
      <c r="D62" s="6" t="s">
        <v>16</v>
      </c>
      <c r="E62" s="6" t="s">
        <v>16</v>
      </c>
      <c r="F62" s="6"/>
      <c r="G62" s="6"/>
      <c r="H62" s="6"/>
      <c r="I62" s="6"/>
      <c r="J62" s="6"/>
      <c r="K62" s="6"/>
      <c r="L62" s="6"/>
      <c r="M62" s="6"/>
      <c r="N62" s="6"/>
      <c r="O62" s="6"/>
      <c r="Q62" s="1" t="s">
        <v>99</v>
      </c>
      <c r="R62" s="1" t="n">
        <v>4</v>
      </c>
      <c r="S62" s="1" t="s">
        <v>100</v>
      </c>
    </row>
    <row r="63" customFormat="false" ht="12.8" hidden="false" customHeight="false" outlineLevel="0" collapsed="false">
      <c r="A63" s="4" t="s">
        <v>15</v>
      </c>
      <c r="B63" s="5" t="s">
        <v>16</v>
      </c>
      <c r="C63" s="5" t="s">
        <v>16</v>
      </c>
      <c r="D63" s="5" t="s">
        <v>16</v>
      </c>
      <c r="E63" s="5" t="s">
        <v>16</v>
      </c>
      <c r="F63" s="6"/>
      <c r="G63" s="6"/>
      <c r="H63" s="6"/>
      <c r="I63" s="6"/>
      <c r="J63" s="6"/>
      <c r="K63" s="6"/>
      <c r="L63" s="6"/>
      <c r="M63" s="6"/>
      <c r="N63" s="6"/>
      <c r="O63" s="6"/>
      <c r="Q63" s="1" t="s">
        <v>101</v>
      </c>
      <c r="R63" s="1" t="n">
        <v>3</v>
      </c>
      <c r="S63" s="1" t="s">
        <v>102</v>
      </c>
    </row>
    <row r="64" customFormat="false" ht="12.8" hidden="false" customHeight="false" outlineLevel="0" collapsed="false">
      <c r="A64" s="4" t="s">
        <v>23</v>
      </c>
      <c r="B64" s="6" t="s">
        <v>16</v>
      </c>
      <c r="C64" s="5" t="s">
        <v>16</v>
      </c>
      <c r="D64" s="5" t="s">
        <v>16</v>
      </c>
      <c r="E64" s="6" t="s">
        <v>16</v>
      </c>
      <c r="F64" s="6"/>
      <c r="G64" s="6"/>
      <c r="H64" s="6"/>
      <c r="I64" s="6"/>
      <c r="J64" s="6"/>
      <c r="K64" s="6"/>
      <c r="L64" s="6"/>
      <c r="M64" s="6"/>
      <c r="N64" s="6"/>
      <c r="O64" s="6"/>
      <c r="Q64" s="1" t="s">
        <v>103</v>
      </c>
      <c r="R64" s="1" t="n">
        <v>3</v>
      </c>
      <c r="S64" s="1" t="s">
        <v>104</v>
      </c>
    </row>
    <row r="65" customFormat="false" ht="12.8" hidden="false" customHeight="false" outlineLevel="0" collapsed="false">
      <c r="A65" s="4" t="s">
        <v>26</v>
      </c>
      <c r="B65" s="6" t="s">
        <v>16</v>
      </c>
      <c r="C65" s="6" t="s">
        <v>16</v>
      </c>
      <c r="D65" s="6" t="s">
        <v>16</v>
      </c>
      <c r="E65" s="6" t="s">
        <v>16</v>
      </c>
      <c r="F65" s="6"/>
      <c r="G65" s="6"/>
      <c r="H65" s="6"/>
      <c r="I65" s="6"/>
      <c r="J65" s="6"/>
      <c r="K65" s="6"/>
      <c r="L65" s="6"/>
      <c r="M65" s="6"/>
      <c r="N65" s="6"/>
      <c r="O65" s="6"/>
      <c r="Q65" s="1" t="s">
        <v>105</v>
      </c>
      <c r="R65" s="1" t="n">
        <v>1</v>
      </c>
      <c r="S65" s="1" t="s">
        <v>106</v>
      </c>
    </row>
    <row r="66" customFormat="false" ht="12.8" hidden="false" customHeight="false" outlineLevel="0" collapsed="false">
      <c r="A66" s="4" t="s">
        <v>82</v>
      </c>
      <c r="B66" s="6" t="s">
        <v>16</v>
      </c>
      <c r="C66" s="6" t="s">
        <v>16</v>
      </c>
      <c r="D66" s="6" t="s">
        <v>16</v>
      </c>
      <c r="E66" s="6" t="s">
        <v>16</v>
      </c>
      <c r="F66" s="6" t="s">
        <v>16</v>
      </c>
      <c r="G66" s="6" t="s">
        <v>16</v>
      </c>
      <c r="H66" s="6" t="s">
        <v>16</v>
      </c>
      <c r="I66" s="6" t="s">
        <v>16</v>
      </c>
      <c r="J66" s="6" t="s">
        <v>16</v>
      </c>
      <c r="K66" s="5" t="s">
        <v>16</v>
      </c>
      <c r="L66" s="5" t="s">
        <v>16</v>
      </c>
      <c r="M66" s="5" t="s">
        <v>16</v>
      </c>
      <c r="N66" s="6" t="s">
        <v>16</v>
      </c>
      <c r="O66" s="6" t="s">
        <v>16</v>
      </c>
    </row>
    <row r="67" customFormat="false" ht="13.8" hidden="false" customHeight="false" outlineLevel="0" collapsed="false">
      <c r="A67" s="4" t="s">
        <v>29</v>
      </c>
      <c r="B67" s="5" t="s">
        <v>16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Q67" s="7" t="s">
        <v>107</v>
      </c>
    </row>
    <row r="68" customFormat="false" ht="12.8" hidden="false" customHeight="false" outlineLevel="0" collapsed="false">
      <c r="A68" s="4" t="s">
        <v>66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 t="s">
        <v>16</v>
      </c>
      <c r="O68" s="6"/>
      <c r="Q68" s="1" t="s">
        <v>32</v>
      </c>
      <c r="R68" s="1" t="n">
        <v>3</v>
      </c>
      <c r="S68" s="1" t="s">
        <v>19</v>
      </c>
    </row>
    <row r="69" customFormat="false" ht="13.8" hidden="false" customHeight="false" outlineLevel="0" collapsed="false">
      <c r="A69" s="4" t="s">
        <v>70</v>
      </c>
      <c r="B69" s="6"/>
      <c r="C69" s="6"/>
      <c r="D69" s="6"/>
      <c r="E69" s="6"/>
      <c r="F69" s="6"/>
      <c r="G69" s="6"/>
      <c r="H69" s="6"/>
      <c r="I69" s="6"/>
      <c r="J69" s="6"/>
      <c r="K69" s="5" t="s">
        <v>16</v>
      </c>
      <c r="L69" s="6"/>
      <c r="M69" s="6"/>
      <c r="N69" s="6"/>
      <c r="O69" s="6"/>
      <c r="Q69" s="1" t="s">
        <v>34</v>
      </c>
      <c r="R69" s="1" t="n">
        <v>1</v>
      </c>
      <c r="S69" s="9" t="s">
        <v>22</v>
      </c>
    </row>
    <row r="70" customFormat="false" ht="12.8" hidden="false" customHeight="false" outlineLevel="0" collapsed="false">
      <c r="A70" s="4" t="s">
        <v>54</v>
      </c>
      <c r="B70" s="6"/>
      <c r="C70" s="6"/>
      <c r="D70" s="6"/>
      <c r="E70" s="6"/>
      <c r="F70" s="6"/>
      <c r="G70" s="5" t="s">
        <v>16</v>
      </c>
      <c r="H70" s="6" t="s">
        <v>16</v>
      </c>
      <c r="I70" s="6" t="s">
        <v>16</v>
      </c>
      <c r="J70" s="6"/>
      <c r="K70" s="6"/>
      <c r="L70" s="6"/>
      <c r="M70" s="6"/>
      <c r="N70" s="6"/>
      <c r="O70" s="6"/>
      <c r="Q70" s="1" t="s">
        <v>93</v>
      </c>
      <c r="R70" s="1" t="n">
        <v>4</v>
      </c>
      <c r="S70" s="1" t="s">
        <v>94</v>
      </c>
    </row>
    <row r="71" customFormat="false" ht="12.8" hidden="false" customHeight="false" outlineLevel="0" collapsed="false">
      <c r="Q71" s="1" t="s">
        <v>95</v>
      </c>
      <c r="R71" s="1" t="n">
        <v>4</v>
      </c>
      <c r="S71" s="1" t="s">
        <v>96</v>
      </c>
    </row>
    <row r="72" customFormat="false" ht="12.8" hidden="false" customHeight="false" outlineLevel="0" collapsed="false">
      <c r="Q72" s="1" t="s">
        <v>97</v>
      </c>
      <c r="R72" s="1" t="n">
        <v>4</v>
      </c>
      <c r="S72" s="1" t="s">
        <v>98</v>
      </c>
    </row>
    <row r="73" customFormat="false" ht="12.8" hidden="false" customHeight="false" outlineLevel="0" collapsed="false">
      <c r="Q73" s="1" t="s">
        <v>99</v>
      </c>
      <c r="R73" s="1" t="n">
        <v>4</v>
      </c>
      <c r="S73" s="1" t="s">
        <v>100</v>
      </c>
    </row>
    <row r="74" customFormat="false" ht="12.8" hidden="false" customHeight="false" outlineLevel="0" collapsed="false">
      <c r="Q74" s="1" t="s">
        <v>101</v>
      </c>
      <c r="R74" s="1" t="n">
        <v>3</v>
      </c>
      <c r="S74" s="1" t="s">
        <v>102</v>
      </c>
    </row>
    <row r="76" customFormat="false" ht="13.8" hidden="false" customHeight="false" outlineLevel="0" collapsed="false">
      <c r="Q76" s="7" t="s">
        <v>108</v>
      </c>
    </row>
    <row r="77" customFormat="false" ht="12.8" hidden="false" customHeight="false" outlineLevel="0" collapsed="false">
      <c r="Q77" s="1" t="s">
        <v>32</v>
      </c>
      <c r="R77" s="1" t="n">
        <v>3</v>
      </c>
      <c r="S77" s="1" t="s">
        <v>19</v>
      </c>
    </row>
    <row r="78" customFormat="false" ht="13.8" hidden="false" customHeight="false" outlineLevel="0" collapsed="false">
      <c r="Q78" s="1" t="s">
        <v>34</v>
      </c>
      <c r="R78" s="1" t="n">
        <v>1</v>
      </c>
      <c r="S78" s="9" t="s">
        <v>22</v>
      </c>
    </row>
    <row r="79" customFormat="false" ht="12.8" hidden="false" customHeight="false" outlineLevel="0" collapsed="false">
      <c r="Q79" s="1" t="s">
        <v>93</v>
      </c>
      <c r="R79" s="1" t="n">
        <v>4</v>
      </c>
      <c r="S79" s="1" t="s">
        <v>94</v>
      </c>
    </row>
    <row r="80" customFormat="false" ht="12.8" hidden="false" customHeight="false" outlineLevel="0" collapsed="false">
      <c r="Q80" s="1" t="s">
        <v>95</v>
      </c>
      <c r="R80" s="1" t="n">
        <v>4</v>
      </c>
      <c r="S80" s="1" t="s">
        <v>96</v>
      </c>
    </row>
    <row r="81" customFormat="false" ht="12.8" hidden="false" customHeight="false" outlineLevel="0" collapsed="false">
      <c r="Q81" s="1" t="s">
        <v>97</v>
      </c>
      <c r="R81" s="1" t="n">
        <v>4</v>
      </c>
      <c r="S81" s="1" t="s">
        <v>98</v>
      </c>
    </row>
    <row r="82" customFormat="false" ht="12.8" hidden="false" customHeight="false" outlineLevel="0" collapsed="false">
      <c r="Q82" s="1" t="s">
        <v>99</v>
      </c>
      <c r="R82" s="1" t="n">
        <v>4</v>
      </c>
      <c r="S82" s="1" t="s">
        <v>100</v>
      </c>
    </row>
    <row r="83" customFormat="false" ht="12.8" hidden="false" customHeight="false" outlineLevel="0" collapsed="false">
      <c r="Q83" s="1" t="s">
        <v>101</v>
      </c>
      <c r="R83" s="1" t="n">
        <v>3</v>
      </c>
      <c r="S83" s="1" t="s">
        <v>102</v>
      </c>
    </row>
    <row r="85" customFormat="false" ht="13.8" hidden="false" customHeight="false" outlineLevel="0" collapsed="false">
      <c r="Q85" s="7" t="s">
        <v>4</v>
      </c>
    </row>
    <row r="86" customFormat="false" ht="12.8" hidden="false" customHeight="false" outlineLevel="0" collapsed="false">
      <c r="Q86" s="1" t="s">
        <v>32</v>
      </c>
      <c r="R86" s="1" t="n">
        <v>3</v>
      </c>
      <c r="S86" s="1" t="s">
        <v>19</v>
      </c>
    </row>
    <row r="87" customFormat="false" ht="13.8" hidden="false" customHeight="false" outlineLevel="0" collapsed="false">
      <c r="Q87" s="1" t="s">
        <v>34</v>
      </c>
      <c r="R87" s="1" t="n">
        <v>1</v>
      </c>
      <c r="S87" s="9" t="s">
        <v>22</v>
      </c>
    </row>
    <row r="88" customFormat="false" ht="12.8" hidden="false" customHeight="false" outlineLevel="0" collapsed="false">
      <c r="Q88" s="1" t="s">
        <v>93</v>
      </c>
      <c r="R88" s="1" t="n">
        <v>4</v>
      </c>
      <c r="S88" s="1" t="s">
        <v>94</v>
      </c>
    </row>
    <row r="89" customFormat="false" ht="12.8" hidden="false" customHeight="false" outlineLevel="0" collapsed="false">
      <c r="Q89" s="1" t="s">
        <v>95</v>
      </c>
      <c r="R89" s="1" t="n">
        <v>4</v>
      </c>
      <c r="S89" s="1" t="s">
        <v>96</v>
      </c>
    </row>
    <row r="90" customFormat="false" ht="12.8" hidden="false" customHeight="false" outlineLevel="0" collapsed="false">
      <c r="Q90" s="1" t="s">
        <v>97</v>
      </c>
      <c r="R90" s="1" t="n">
        <v>4</v>
      </c>
      <c r="S90" s="1" t="s">
        <v>98</v>
      </c>
    </row>
    <row r="91" customFormat="false" ht="12.8" hidden="false" customHeight="false" outlineLevel="0" collapsed="false">
      <c r="Q91" s="1" t="s">
        <v>99</v>
      </c>
      <c r="R91" s="1" t="n">
        <v>4</v>
      </c>
      <c r="S91" s="1" t="s">
        <v>100</v>
      </c>
    </row>
    <row r="92" customFormat="false" ht="12.8" hidden="false" customHeight="false" outlineLevel="0" collapsed="false">
      <c r="Q92" s="1" t="s">
        <v>101</v>
      </c>
      <c r="R92" s="1" t="n">
        <v>3</v>
      </c>
      <c r="S92" s="1" t="s">
        <v>102</v>
      </c>
    </row>
    <row r="93" customFormat="false" ht="12.8" hidden="false" customHeight="false" outlineLevel="0" collapsed="false">
      <c r="Q93" s="1" t="s">
        <v>109</v>
      </c>
      <c r="R93" s="1" t="n">
        <v>3</v>
      </c>
      <c r="S93" s="1" t="s">
        <v>110</v>
      </c>
    </row>
    <row r="94" customFormat="false" ht="12.8" hidden="false" customHeight="false" outlineLevel="0" collapsed="false">
      <c r="Q94" s="1" t="s">
        <v>111</v>
      </c>
      <c r="R94" s="1" t="n">
        <v>2</v>
      </c>
      <c r="S94" s="1" t="s">
        <v>112</v>
      </c>
    </row>
    <row r="95" customFormat="false" ht="12.8" hidden="false" customHeight="false" outlineLevel="0" collapsed="false">
      <c r="Q95" s="1" t="s">
        <v>113</v>
      </c>
      <c r="R95" s="1" t="n">
        <v>3</v>
      </c>
      <c r="S95" s="1" t="s">
        <v>114</v>
      </c>
    </row>
    <row r="96" customFormat="false" ht="12.8" hidden="false" customHeight="false" outlineLevel="0" collapsed="false">
      <c r="Q96" s="1" t="s">
        <v>115</v>
      </c>
      <c r="R96" s="1" t="n">
        <v>4</v>
      </c>
      <c r="S96" s="1" t="s">
        <v>116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30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0" ySplit="16" topLeftCell="A88" activePane="bottomLeft" state="frozen"/>
      <selection pane="topLeft" activeCell="A1" activeCellId="0" sqref="A1"/>
      <selection pane="bottomLeft" activeCell="G275" activeCellId="1" sqref="L46:O46 G2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2" width="30.15"/>
    <col collapsed="false" customWidth="true" hidden="false" outlineLevel="0" max="2" min="2" style="12" width="7.11"/>
    <col collapsed="false" customWidth="true" hidden="false" outlineLevel="0" max="3" min="3" style="12" width="5.84"/>
    <col collapsed="false" customWidth="true" hidden="false" outlineLevel="0" max="4" min="4" style="12" width="8"/>
    <col collapsed="false" customWidth="true" hidden="false" outlineLevel="0" max="5" min="5" style="12" width="8.8"/>
    <col collapsed="false" customWidth="true" hidden="false" outlineLevel="0" max="6" min="6" style="12" width="11.94"/>
    <col collapsed="false" customWidth="true" hidden="false" outlineLevel="0" max="7" min="7" style="12" width="10.27"/>
    <col collapsed="false" customWidth="true" hidden="false" outlineLevel="0" max="8" min="8" style="12" width="10.95"/>
    <col collapsed="false" customWidth="false" hidden="false" outlineLevel="0" max="9" min="9" style="12" width="11.52"/>
    <col collapsed="false" customWidth="true" hidden="false" outlineLevel="0" max="10" min="10" style="12" width="9.97"/>
    <col collapsed="false" customWidth="true" hidden="false" outlineLevel="0" max="11" min="11" style="12" width="11.25"/>
    <col collapsed="false" customWidth="false" hidden="false" outlineLevel="0" max="12" min="12" style="12" width="11.55"/>
    <col collapsed="false" customWidth="true" hidden="false" outlineLevel="0" max="13" min="13" style="12" width="9.47"/>
    <col collapsed="false" customWidth="true" hidden="false" outlineLevel="0" max="14" min="14" style="12" width="9.58"/>
    <col collapsed="false" customWidth="true" hidden="false" outlineLevel="0" max="16" min="15" style="12" width="8"/>
    <col collapsed="false" customWidth="true" hidden="false" outlineLevel="0" max="17" min="17" style="12" width="8.8"/>
    <col collapsed="false" customWidth="true" hidden="false" outlineLevel="0" max="18" min="18" style="12" width="8"/>
    <col collapsed="false" customWidth="true" hidden="false" outlineLevel="0" max="19" min="19" style="12" width="8.2"/>
    <col collapsed="false" customWidth="true" hidden="false" outlineLevel="0" max="20" min="20" style="12" width="25.52"/>
    <col collapsed="false" customWidth="true" hidden="false" outlineLevel="0" max="21" min="21" style="13" width="6.82"/>
    <col collapsed="false" customWidth="true" hidden="false" outlineLevel="0" max="22" min="22" style="13" width="7.9"/>
    <col collapsed="false" customWidth="true" hidden="false" outlineLevel="0" max="23" min="23" style="12" width="30.35"/>
    <col collapsed="false" customWidth="false" hidden="false" outlineLevel="0" max="28" min="25" style="14" width="11.52"/>
  </cols>
  <sheetData>
    <row r="1" customFormat="false" ht="12.8" hidden="false" customHeight="false" outlineLevel="0" collapsed="false">
      <c r="S1" s="15" t="n">
        <v>0.3</v>
      </c>
    </row>
    <row r="2" customFormat="false" ht="12.8" hidden="false" customHeight="false" outlineLevel="0" collapsed="false">
      <c r="A2" s="16" t="s">
        <v>117</v>
      </c>
      <c r="B2" s="16" t="s">
        <v>118</v>
      </c>
      <c r="C2" s="16" t="s">
        <v>119</v>
      </c>
      <c r="D2" s="16" t="s">
        <v>120</v>
      </c>
      <c r="E2" s="16" t="s">
        <v>121</v>
      </c>
      <c r="F2" s="16" t="s">
        <v>122</v>
      </c>
      <c r="G2" s="16" t="s">
        <v>123</v>
      </c>
      <c r="H2" s="16" t="s">
        <v>124</v>
      </c>
      <c r="I2" s="16" t="s">
        <v>125</v>
      </c>
      <c r="J2" s="16" t="s">
        <v>126</v>
      </c>
      <c r="K2" s="16" t="s">
        <v>127</v>
      </c>
      <c r="L2" s="16" t="s">
        <v>128</v>
      </c>
      <c r="M2" s="16" t="s">
        <v>129</v>
      </c>
      <c r="N2" s="17" t="s">
        <v>130</v>
      </c>
      <c r="O2" s="16" t="s">
        <v>131</v>
      </c>
      <c r="P2" s="16" t="s">
        <v>132</v>
      </c>
      <c r="Q2" s="16" t="s">
        <v>133</v>
      </c>
      <c r="R2" s="16" t="s">
        <v>134</v>
      </c>
      <c r="S2" s="16" t="s">
        <v>135</v>
      </c>
      <c r="T2" s="18" t="s">
        <v>136</v>
      </c>
      <c r="U2" s="18" t="s">
        <v>137</v>
      </c>
      <c r="V2" s="19" t="s">
        <v>138</v>
      </c>
      <c r="W2" s="18" t="s">
        <v>139</v>
      </c>
    </row>
    <row r="3" customFormat="false" ht="12.8" hidden="false" customHeight="false" outlineLevel="0" collapsed="false">
      <c r="A3" s="20" t="s">
        <v>140</v>
      </c>
      <c r="B3" s="21" t="n">
        <f aca="false">VLOOKUP(A3,BD_Items,VLOOKUP($B$2,FT,2,0),0)</f>
        <v>8</v>
      </c>
      <c r="C3" s="22" t="n">
        <f aca="false">VLOOKUP(A3,BD_Items,13,0)</f>
        <v>1000</v>
      </c>
      <c r="D3" s="23" t="n">
        <f aca="false">B3*100/C3</f>
        <v>0.8</v>
      </c>
      <c r="E3" s="21" t="n">
        <v>3</v>
      </c>
      <c r="F3" s="24" t="n">
        <f aca="false">B3*E3</f>
        <v>24</v>
      </c>
      <c r="G3" s="25" t="n">
        <f aca="false">C3*E3</f>
        <v>3000</v>
      </c>
      <c r="H3" s="26" t="n">
        <f aca="false">(VLOOKUP($A3,BD_Items,2,0))*100/$C3</f>
        <v>0</v>
      </c>
      <c r="I3" s="26" t="n">
        <f aca="false">(VLOOKUP($A3,BD_Items,3,0))*100/$C3</f>
        <v>0</v>
      </c>
      <c r="J3" s="23" t="n">
        <f aca="false">(VLOOKUP($A3,BD_Items,4,0))*100/$C3</f>
        <v>0.8</v>
      </c>
      <c r="K3" s="23" t="n">
        <f aca="false">(VLOOKUP($A3,BD_Items,5,0))*100/$C3</f>
        <v>0.8</v>
      </c>
      <c r="L3" s="23" t="n">
        <f aca="false">(VLOOKUP($A3,BD_Items,6,0))*100/$C3</f>
        <v>-0.3</v>
      </c>
      <c r="M3" s="23" t="n">
        <f aca="false">(VLOOKUP($A3,BD_Items,7,0))*100/$C3</f>
        <v>-0.3</v>
      </c>
      <c r="N3" s="27" t="n">
        <f aca="false">(J3+K3+L3+M3)/4</f>
        <v>0.25</v>
      </c>
      <c r="O3" s="28" t="n">
        <f aca="false">VLOOKUP($A3,BD_Items,8,0)*$E3</f>
        <v>0</v>
      </c>
      <c r="P3" s="28" t="n">
        <f aca="false">VLOOKUP($A3,BD_Items,9,0)*$E3</f>
        <v>0</v>
      </c>
      <c r="Q3" s="28" t="n">
        <f aca="false">VLOOKUP($A3,BD_Items,10,0)*$E3</f>
        <v>0</v>
      </c>
      <c r="R3" s="28" t="n">
        <f aca="false">VLOOKUP($A3,BD_Items,11,0)*$E3</f>
        <v>0</v>
      </c>
      <c r="S3" s="28" t="n">
        <f aca="false">VLOOKUP($A3,BD_Items,12,0)*$E3</f>
        <v>0</v>
      </c>
      <c r="T3" s="29" t="s">
        <v>141</v>
      </c>
      <c r="U3" s="29" t="n">
        <v>8880</v>
      </c>
      <c r="V3" s="30" t="s">
        <v>142</v>
      </c>
      <c r="W3" s="25" t="n">
        <v>2</v>
      </c>
    </row>
    <row r="4" customFormat="false" ht="12.8" hidden="false" customHeight="false" outlineLevel="0" collapsed="false">
      <c r="A4" s="20" t="s">
        <v>143</v>
      </c>
      <c r="B4" s="21" t="n">
        <f aca="false">VLOOKUP(A4,BD_Items,VLOOKUP($B$2,FT,2,0),0)</f>
        <v>0</v>
      </c>
      <c r="C4" s="22" t="n">
        <f aca="false">VLOOKUP(A4,BD_Items,13,0)</f>
        <v>3400</v>
      </c>
      <c r="D4" s="23" t="n">
        <f aca="false">B4*100/C4</f>
        <v>0</v>
      </c>
      <c r="E4" s="21" t="n">
        <v>1</v>
      </c>
      <c r="F4" s="24" t="n">
        <f aca="false">B4*E4</f>
        <v>0</v>
      </c>
      <c r="G4" s="25" t="n">
        <f aca="false">C4*E4</f>
        <v>3400</v>
      </c>
      <c r="H4" s="26" t="n">
        <f aca="false">(VLOOKUP($A4,BD_Items,2,0))*100/$C4</f>
        <v>0</v>
      </c>
      <c r="I4" s="26" t="n">
        <f aca="false">(VLOOKUP($A4,BD_Items,3,0))*100/$C4</f>
        <v>0</v>
      </c>
      <c r="J4" s="23" t="n">
        <f aca="false">(VLOOKUP($A4,BD_Items,4,0))*100/$C4</f>
        <v>0</v>
      </c>
      <c r="K4" s="23" t="n">
        <f aca="false">(VLOOKUP($A4,BD_Items,5,0))*100/$C4</f>
        <v>0.882352941176471</v>
      </c>
      <c r="L4" s="23" t="n">
        <f aca="false">(VLOOKUP($A4,BD_Items,6,0))*100/$C4</f>
        <v>0</v>
      </c>
      <c r="M4" s="23" t="n">
        <f aca="false">(VLOOKUP($A4,BD_Items,7,0))*100/$C4</f>
        <v>0</v>
      </c>
      <c r="N4" s="27" t="n">
        <f aca="false">(J4+K4+L4+M4)/4</f>
        <v>0.220588235294118</v>
      </c>
      <c r="O4" s="28" t="n">
        <f aca="false">VLOOKUP($A4,BD_Items,8,0)*$E4</f>
        <v>0</v>
      </c>
      <c r="P4" s="28" t="n">
        <f aca="false">VLOOKUP($A4,BD_Items,9,0)*$E4</f>
        <v>0</v>
      </c>
      <c r="Q4" s="28" t="n">
        <f aca="false">VLOOKUP($A4,BD_Items,10,0)*$E4</f>
        <v>0</v>
      </c>
      <c r="R4" s="28" t="n">
        <f aca="false">VLOOKUP($A4,BD_Items,11,0)*$E4</f>
        <v>0</v>
      </c>
      <c r="S4" s="28" t="n">
        <f aca="false">VLOOKUP($A4,BD_Items,12,0)*$E4</f>
        <v>0</v>
      </c>
      <c r="T4" s="29" t="s">
        <v>144</v>
      </c>
      <c r="U4" s="29" t="n">
        <v>15285</v>
      </c>
      <c r="V4" s="30" t="s">
        <v>145</v>
      </c>
      <c r="W4" s="25" t="n">
        <v>3</v>
      </c>
    </row>
    <row r="5" customFormat="false" ht="12.8" hidden="false" customHeight="false" outlineLevel="0" collapsed="false">
      <c r="A5" s="20" t="s">
        <v>146</v>
      </c>
      <c r="B5" s="21" t="n">
        <f aca="false">VLOOKUP(A5,BD_Items,VLOOKUP($B$2,FT,2,0),0)</f>
        <v>25</v>
      </c>
      <c r="C5" s="22" t="n">
        <f aca="false">VLOOKUP(A5,BD_Items,13,0)</f>
        <v>2700</v>
      </c>
      <c r="D5" s="23" t="n">
        <f aca="false">B5*100/C5</f>
        <v>0.925925925925926</v>
      </c>
      <c r="E5" s="21" t="n">
        <v>1</v>
      </c>
      <c r="F5" s="24" t="n">
        <f aca="false">B5*E5</f>
        <v>25</v>
      </c>
      <c r="G5" s="25" t="n">
        <f aca="false">C5*E5</f>
        <v>2700</v>
      </c>
      <c r="H5" s="26" t="n">
        <f aca="false">(VLOOKUP($A5,BD_Items,2,0))*100/$C5</f>
        <v>0</v>
      </c>
      <c r="I5" s="26" t="n">
        <f aca="false">(VLOOKUP($A5,BD_Items,3,0))*100/$C5</f>
        <v>0</v>
      </c>
      <c r="J5" s="23" t="n">
        <f aca="false">(VLOOKUP($A5,BD_Items,4,0))*100/$C5</f>
        <v>0.925925925925926</v>
      </c>
      <c r="K5" s="23" t="n">
        <f aca="false">(VLOOKUP($A5,BD_Items,5,0))*100/$C5</f>
        <v>0</v>
      </c>
      <c r="L5" s="23" t="n">
        <f aca="false">(VLOOKUP($A5,BD_Items,6,0))*100/$C5</f>
        <v>0</v>
      </c>
      <c r="M5" s="23" t="n">
        <f aca="false">(VLOOKUP($A5,BD_Items,7,0))*100/$C5</f>
        <v>0</v>
      </c>
      <c r="N5" s="27" t="n">
        <f aca="false">(J5+K5+L5+M5)/4</f>
        <v>0.231481481481481</v>
      </c>
      <c r="O5" s="28" t="n">
        <f aca="false">VLOOKUP($A5,BD_Items,8,0)*$E5</f>
        <v>0</v>
      </c>
      <c r="P5" s="28" t="n">
        <f aca="false">VLOOKUP($A5,BD_Items,9,0)*$E5</f>
        <v>0</v>
      </c>
      <c r="Q5" s="28" t="n">
        <f aca="false">VLOOKUP($A5,BD_Items,10,0)*$E5</f>
        <v>0</v>
      </c>
      <c r="R5" s="28" t="n">
        <f aca="false">VLOOKUP($A5,BD_Items,11,0)*$E5</f>
        <v>0</v>
      </c>
      <c r="S5" s="28" t="n">
        <f aca="false">VLOOKUP($A5,BD_Items,12,0)*$E5</f>
        <v>0</v>
      </c>
      <c r="T5" s="29" t="s">
        <v>147</v>
      </c>
      <c r="U5" s="29" t="n">
        <v>22150</v>
      </c>
      <c r="V5" s="30" t="s">
        <v>118</v>
      </c>
      <c r="W5" s="25" t="n">
        <v>4</v>
      </c>
    </row>
    <row r="6" customFormat="false" ht="12.8" hidden="false" customHeight="false" outlineLevel="0" collapsed="false">
      <c r="A6" s="20" t="s">
        <v>148</v>
      </c>
      <c r="B6" s="21" t="n">
        <f aca="false">VLOOKUP(A6,BD_Items,VLOOKUP($B$2,FT,2,0),0)</f>
        <v>0</v>
      </c>
      <c r="C6" s="22" t="n">
        <f aca="false">VLOOKUP(A6,BD_Items,13,0)</f>
        <v>0</v>
      </c>
      <c r="D6" s="23" t="e">
        <f aca="false">B6*100/C6</f>
        <v>#DIV/0!</v>
      </c>
      <c r="E6" s="21" t="n">
        <v>1</v>
      </c>
      <c r="F6" s="24" t="n">
        <f aca="false">B6*E6</f>
        <v>0</v>
      </c>
      <c r="G6" s="25" t="n">
        <f aca="false">C6*E6</f>
        <v>0</v>
      </c>
      <c r="H6" s="26" t="e">
        <f aca="false">(VLOOKUP($A6,BD_Items,2,0))*100/$C6</f>
        <v>#DIV/0!</v>
      </c>
      <c r="I6" s="26" t="e">
        <f aca="false">(VLOOKUP($A6,BD_Items,3,0))*100/$C6</f>
        <v>#DIV/0!</v>
      </c>
      <c r="J6" s="23" t="e">
        <f aca="false">(VLOOKUP($A6,BD_Items,4,0))*100/$C6</f>
        <v>#DIV/0!</v>
      </c>
      <c r="K6" s="23" t="e">
        <f aca="false">(VLOOKUP($A6,BD_Items,5,0))*100/$C6</f>
        <v>#DIV/0!</v>
      </c>
      <c r="L6" s="23" t="e">
        <f aca="false">(VLOOKUP($A6,BD_Items,6,0))*100/$C6</f>
        <v>#DIV/0!</v>
      </c>
      <c r="M6" s="23" t="e">
        <f aca="false">(VLOOKUP($A6,BD_Items,7,0))*100/$C6</f>
        <v>#DIV/0!</v>
      </c>
      <c r="N6" s="27" t="e">
        <f aca="false">(J6+K6+L6+M6)/4</f>
        <v>#DIV/0!</v>
      </c>
      <c r="O6" s="28" t="n">
        <f aca="false">VLOOKUP($A6,BD_Items,8,0)*$E6</f>
        <v>0</v>
      </c>
      <c r="P6" s="28" t="n">
        <f aca="false">VLOOKUP($A6,BD_Items,9,0)*$E6</f>
        <v>0</v>
      </c>
      <c r="Q6" s="28" t="n">
        <f aca="false">VLOOKUP($A6,BD_Items,10,0)*$E6</f>
        <v>0</v>
      </c>
      <c r="R6" s="28" t="n">
        <f aca="false">VLOOKUP($A6,BD_Items,11,0)*$E6</f>
        <v>0</v>
      </c>
      <c r="S6" s="28" t="n">
        <f aca="false">VLOOKUP($A6,BD_Items,12,0)*$E6</f>
        <v>0</v>
      </c>
      <c r="T6" s="29" t="s">
        <v>149</v>
      </c>
      <c r="U6" s="29" t="n">
        <v>12285</v>
      </c>
      <c r="V6" s="30" t="s">
        <v>150</v>
      </c>
      <c r="W6" s="25" t="n">
        <v>5</v>
      </c>
    </row>
    <row r="7" customFormat="false" ht="12.8" hidden="false" customHeight="false" outlineLevel="0" collapsed="false">
      <c r="A7" s="20" t="s">
        <v>148</v>
      </c>
      <c r="B7" s="21" t="n">
        <f aca="false">VLOOKUP(A7,BD_Items,VLOOKUP($B$2,FT,2,0),0)</f>
        <v>0</v>
      </c>
      <c r="C7" s="22" t="n">
        <f aca="false">VLOOKUP(A7,BD_Items,13,0)</f>
        <v>0</v>
      </c>
      <c r="D7" s="23" t="e">
        <f aca="false">B7*100/C7</f>
        <v>#DIV/0!</v>
      </c>
      <c r="E7" s="21" t="n">
        <v>1</v>
      </c>
      <c r="F7" s="24" t="n">
        <f aca="false">B7*E7</f>
        <v>0</v>
      </c>
      <c r="G7" s="25" t="n">
        <f aca="false">C7*E7</f>
        <v>0</v>
      </c>
      <c r="H7" s="26" t="e">
        <f aca="false">(VLOOKUP($A7,BD_Items,2,0))*100/$C7</f>
        <v>#DIV/0!</v>
      </c>
      <c r="I7" s="26" t="e">
        <f aca="false">(VLOOKUP($A7,BD_Items,3,0))*100/$C7</f>
        <v>#DIV/0!</v>
      </c>
      <c r="J7" s="23" t="e">
        <f aca="false">(VLOOKUP($A7,BD_Items,4,0))*100/$C7</f>
        <v>#DIV/0!</v>
      </c>
      <c r="K7" s="23" t="e">
        <f aca="false">(VLOOKUP($A7,BD_Items,5,0))*100/$C7</f>
        <v>#DIV/0!</v>
      </c>
      <c r="L7" s="23" t="e">
        <f aca="false">(VLOOKUP($A7,BD_Items,6,0))*100/$C7</f>
        <v>#DIV/0!</v>
      </c>
      <c r="M7" s="23" t="e">
        <f aca="false">(VLOOKUP($A7,BD_Items,7,0))*100/$C7</f>
        <v>#DIV/0!</v>
      </c>
      <c r="N7" s="27" t="e">
        <f aca="false">(J7+K7+L7+M7)/4</f>
        <v>#DIV/0!</v>
      </c>
      <c r="O7" s="28" t="n">
        <f aca="false">VLOOKUP($A7,BD_Items,8,0)*$E7</f>
        <v>0</v>
      </c>
      <c r="P7" s="28" t="n">
        <f aca="false">VLOOKUP($A7,BD_Items,9,0)*$E7</f>
        <v>0</v>
      </c>
      <c r="Q7" s="28" t="n">
        <f aca="false">VLOOKUP($A7,BD_Items,10,0)*$E7</f>
        <v>0</v>
      </c>
      <c r="R7" s="28" t="n">
        <f aca="false">VLOOKUP($A7,BD_Items,11,0)*$E7</f>
        <v>0</v>
      </c>
      <c r="S7" s="28" t="n">
        <f aca="false">VLOOKUP($A7,BD_Items,12,0)*$E7</f>
        <v>0</v>
      </c>
      <c r="T7" s="31" t="s">
        <v>151</v>
      </c>
      <c r="U7" s="31" t="n">
        <v>58600</v>
      </c>
      <c r="V7" s="30" t="s">
        <v>152</v>
      </c>
      <c r="W7" s="25" t="n">
        <v>6</v>
      </c>
    </row>
    <row r="8" customFormat="false" ht="12.8" hidden="false" customHeight="false" outlineLevel="0" collapsed="false">
      <c r="A8" s="20" t="s">
        <v>148</v>
      </c>
      <c r="B8" s="21" t="n">
        <f aca="false">VLOOKUP(A8,BD_Items,VLOOKUP($B$2,FT,2,0),0)</f>
        <v>0</v>
      </c>
      <c r="C8" s="22" t="n">
        <f aca="false">VLOOKUP(A8,BD_Items,13,0)</f>
        <v>0</v>
      </c>
      <c r="D8" s="23" t="e">
        <f aca="false">B8*100/C8</f>
        <v>#DIV/0!</v>
      </c>
      <c r="E8" s="21" t="n">
        <v>4</v>
      </c>
      <c r="F8" s="24" t="n">
        <f aca="false">B8*E8</f>
        <v>0</v>
      </c>
      <c r="G8" s="25" t="n">
        <f aca="false">C8*E8</f>
        <v>0</v>
      </c>
      <c r="H8" s="26" t="e">
        <f aca="false">(VLOOKUP($A8,BD_Items,2,0))*100/$C8</f>
        <v>#DIV/0!</v>
      </c>
      <c r="I8" s="26" t="e">
        <f aca="false">(VLOOKUP($A8,BD_Items,3,0))*100/$C8</f>
        <v>#DIV/0!</v>
      </c>
      <c r="J8" s="23" t="e">
        <f aca="false">(VLOOKUP($A8,BD_Items,4,0))*100/$C8</f>
        <v>#DIV/0!</v>
      </c>
      <c r="K8" s="23" t="e">
        <f aca="false">(VLOOKUP($A8,BD_Items,5,0))*100/$C8</f>
        <v>#DIV/0!</v>
      </c>
      <c r="L8" s="23" t="e">
        <f aca="false">(VLOOKUP($A8,BD_Items,6,0))*100/$C8</f>
        <v>#DIV/0!</v>
      </c>
      <c r="M8" s="23" t="e">
        <f aca="false">(VLOOKUP($A8,BD_Items,7,0))*100/$C8</f>
        <v>#DIV/0!</v>
      </c>
      <c r="N8" s="27" t="e">
        <f aca="false">(J8+K8+L8+M8)/4</f>
        <v>#DIV/0!</v>
      </c>
      <c r="O8" s="28" t="n">
        <f aca="false">VLOOKUP($A8,BD_Items,8,0)*$E8</f>
        <v>0</v>
      </c>
      <c r="P8" s="28" t="n">
        <f aca="false">VLOOKUP($A8,BD_Items,9,0)*$E8</f>
        <v>0</v>
      </c>
      <c r="Q8" s="28" t="n">
        <f aca="false">VLOOKUP($A8,BD_Items,10,0)*$E8</f>
        <v>0</v>
      </c>
      <c r="R8" s="28" t="n">
        <f aca="false">VLOOKUP($A8,BD_Items,11,0)*$E8</f>
        <v>0</v>
      </c>
      <c r="S8" s="28" t="n">
        <f aca="false">VLOOKUP($A8,BD_Items,12,0)*$E8</f>
        <v>0</v>
      </c>
      <c r="T8" s="29"/>
      <c r="U8" s="29"/>
      <c r="V8" s="30" t="s">
        <v>153</v>
      </c>
      <c r="W8" s="25" t="n">
        <v>7</v>
      </c>
    </row>
    <row r="9" customFormat="false" ht="12.8" hidden="false" customHeight="false" outlineLevel="0" collapsed="false">
      <c r="A9" s="20" t="s">
        <v>148</v>
      </c>
      <c r="B9" s="21" t="n">
        <f aca="false">VLOOKUP(A9,BD_Items,VLOOKUP($B$2,FT,2,0),0)</f>
        <v>0</v>
      </c>
      <c r="C9" s="22" t="n">
        <f aca="false">VLOOKUP(A9,BD_Items,13,0)</f>
        <v>0</v>
      </c>
      <c r="D9" s="23" t="e">
        <f aca="false">B9*100/C9</f>
        <v>#DIV/0!</v>
      </c>
      <c r="E9" s="21" t="n">
        <v>4</v>
      </c>
      <c r="F9" s="24" t="n">
        <f aca="false">B9*E9</f>
        <v>0</v>
      </c>
      <c r="G9" s="25" t="n">
        <f aca="false">C9*E9</f>
        <v>0</v>
      </c>
      <c r="H9" s="26" t="e">
        <f aca="false">(VLOOKUP($A9,BD_Items,2,0))*100/$C9</f>
        <v>#DIV/0!</v>
      </c>
      <c r="I9" s="26" t="e">
        <f aca="false">(VLOOKUP($A9,BD_Items,3,0))*100/$C9</f>
        <v>#DIV/0!</v>
      </c>
      <c r="J9" s="23" t="e">
        <f aca="false">(VLOOKUP($A9,BD_Items,4,0))*100/$C9</f>
        <v>#DIV/0!</v>
      </c>
      <c r="K9" s="23" t="e">
        <f aca="false">(VLOOKUP($A9,BD_Items,5,0))*100/$C9</f>
        <v>#DIV/0!</v>
      </c>
      <c r="L9" s="23" t="e">
        <f aca="false">(VLOOKUP($A9,BD_Items,6,0))*100/$C9</f>
        <v>#DIV/0!</v>
      </c>
      <c r="M9" s="23" t="e">
        <f aca="false">(VLOOKUP($A9,BD_Items,7,0))*100/$C9</f>
        <v>#DIV/0!</v>
      </c>
      <c r="N9" s="27" t="e">
        <f aca="false">(J9+K9+L9+M9)/4</f>
        <v>#DIV/0!</v>
      </c>
      <c r="O9" s="28" t="n">
        <f aca="false">VLOOKUP($A9,BD_Items,8,0)*$E9</f>
        <v>0</v>
      </c>
      <c r="P9" s="28" t="n">
        <f aca="false">VLOOKUP($A9,BD_Items,9,0)*$E9</f>
        <v>0</v>
      </c>
      <c r="Q9" s="28" t="n">
        <f aca="false">VLOOKUP($A9,BD_Items,10,0)*$E9</f>
        <v>0</v>
      </c>
      <c r="R9" s="28" t="n">
        <f aca="false">VLOOKUP($A9,BD_Items,11,0)*$E9</f>
        <v>0</v>
      </c>
      <c r="S9" s="28" t="n">
        <f aca="false">VLOOKUP($A9,BD_Items,12,0)*$E9</f>
        <v>0</v>
      </c>
      <c r="T9" s="29" t="s">
        <v>154</v>
      </c>
      <c r="U9" s="29" t="n">
        <v>18730</v>
      </c>
      <c r="V9" s="30" t="s">
        <v>155</v>
      </c>
      <c r="W9" s="25" t="n">
        <v>8</v>
      </c>
    </row>
    <row r="10" customFormat="false" ht="12.8" hidden="false" customHeight="false" outlineLevel="0" collapsed="false">
      <c r="A10" s="20" t="s">
        <v>148</v>
      </c>
      <c r="B10" s="21" t="n">
        <f aca="false">VLOOKUP(A10,BD_Items,VLOOKUP($B$2,FT,2,0),0)</f>
        <v>0</v>
      </c>
      <c r="C10" s="22" t="n">
        <f aca="false">VLOOKUP(A10,BD_Items,13,0)</f>
        <v>0</v>
      </c>
      <c r="D10" s="23" t="e">
        <f aca="false">B10*100/C10</f>
        <v>#DIV/0!</v>
      </c>
      <c r="E10" s="21" t="n">
        <v>4</v>
      </c>
      <c r="F10" s="24" t="n">
        <f aca="false">B10*E10</f>
        <v>0</v>
      </c>
      <c r="G10" s="25" t="n">
        <f aca="false">C10*E10</f>
        <v>0</v>
      </c>
      <c r="H10" s="26" t="e">
        <f aca="false">(VLOOKUP($A10,BD_Items,2,0))*100/$C10</f>
        <v>#DIV/0!</v>
      </c>
      <c r="I10" s="26" t="e">
        <f aca="false">(VLOOKUP($A10,BD_Items,3,0))*100/$C10</f>
        <v>#DIV/0!</v>
      </c>
      <c r="J10" s="23" t="e">
        <f aca="false">(VLOOKUP($A10,BD_Items,4,0))*100/$C10</f>
        <v>#DIV/0!</v>
      </c>
      <c r="K10" s="23" t="e">
        <f aca="false">(VLOOKUP($A10,BD_Items,5,0))*100/$C10</f>
        <v>#DIV/0!</v>
      </c>
      <c r="L10" s="23" t="e">
        <f aca="false">(VLOOKUP($A10,BD_Items,6,0))*100/$C10</f>
        <v>#DIV/0!</v>
      </c>
      <c r="M10" s="23" t="e">
        <f aca="false">(VLOOKUP($A10,BD_Items,7,0))*100/$C10</f>
        <v>#DIV/0!</v>
      </c>
      <c r="N10" s="27" t="e">
        <f aca="false">(J10+K10+L10+M10)/4</f>
        <v>#DIV/0!</v>
      </c>
      <c r="O10" s="28" t="n">
        <f aca="false">VLOOKUP($A10,BD_Items,8,0)*$E10</f>
        <v>0</v>
      </c>
      <c r="P10" s="28" t="n">
        <f aca="false">VLOOKUP($A10,BD_Items,9,0)*$E10</f>
        <v>0</v>
      </c>
      <c r="Q10" s="28" t="n">
        <f aca="false">VLOOKUP($A10,BD_Items,10,0)*$E10</f>
        <v>0</v>
      </c>
      <c r="R10" s="28" t="n">
        <f aca="false">VLOOKUP($A10,BD_Items,11,0)*$E10</f>
        <v>0</v>
      </c>
      <c r="S10" s="28" t="n">
        <f aca="false">VLOOKUP($A10,BD_Items,12,0)*$E10</f>
        <v>0</v>
      </c>
      <c r="T10" s="29" t="s">
        <v>147</v>
      </c>
      <c r="U10" s="29" t="n">
        <v>27585</v>
      </c>
      <c r="V10" s="30" t="s">
        <v>156</v>
      </c>
      <c r="W10" s="25" t="n">
        <v>9</v>
      </c>
    </row>
    <row r="11" customFormat="false" ht="12.8" hidden="false" customHeight="false" outlineLevel="0" collapsed="false">
      <c r="A11" s="20" t="s">
        <v>148</v>
      </c>
      <c r="B11" s="21" t="n">
        <f aca="false">VLOOKUP(A11,BD_Items,VLOOKUP($B$2,FT,2,0),0)</f>
        <v>0</v>
      </c>
      <c r="C11" s="22" t="n">
        <f aca="false">VLOOKUP(A11,BD_Items,13,0)</f>
        <v>0</v>
      </c>
      <c r="D11" s="23" t="e">
        <f aca="false">B11*100/C11</f>
        <v>#DIV/0!</v>
      </c>
      <c r="E11" s="21" t="n">
        <v>4</v>
      </c>
      <c r="F11" s="24" t="n">
        <f aca="false">B11*E11</f>
        <v>0</v>
      </c>
      <c r="G11" s="25" t="n">
        <f aca="false">C11*E11</f>
        <v>0</v>
      </c>
      <c r="H11" s="26" t="e">
        <f aca="false">(VLOOKUP($A11,BD_Items,2,0))*100/$C11</f>
        <v>#DIV/0!</v>
      </c>
      <c r="I11" s="26" t="e">
        <f aca="false">(VLOOKUP($A11,BD_Items,3,0))*100/$C11</f>
        <v>#DIV/0!</v>
      </c>
      <c r="J11" s="23" t="e">
        <f aca="false">(VLOOKUP($A11,BD_Items,4,0))*100/$C11</f>
        <v>#DIV/0!</v>
      </c>
      <c r="K11" s="23" t="e">
        <f aca="false">(VLOOKUP($A11,BD_Items,5,0))*100/$C11</f>
        <v>#DIV/0!</v>
      </c>
      <c r="L11" s="23" t="e">
        <f aca="false">(VLOOKUP($A11,BD_Items,6,0))*100/$C11</f>
        <v>#DIV/0!</v>
      </c>
      <c r="M11" s="23" t="e">
        <f aca="false">(VLOOKUP($A11,BD_Items,7,0))*100/$C11</f>
        <v>#DIV/0!</v>
      </c>
      <c r="N11" s="27" t="e">
        <f aca="false">(J11+K11+L11+M11)/4</f>
        <v>#DIV/0!</v>
      </c>
      <c r="O11" s="28" t="n">
        <f aca="false">VLOOKUP($A11,BD_Items,8,0)*$E11</f>
        <v>0</v>
      </c>
      <c r="P11" s="28" t="n">
        <f aca="false">VLOOKUP($A11,BD_Items,9,0)*$E11</f>
        <v>0</v>
      </c>
      <c r="Q11" s="28" t="n">
        <f aca="false">VLOOKUP($A11,BD_Items,10,0)*$E11</f>
        <v>0</v>
      </c>
      <c r="R11" s="28" t="n">
        <f aca="false">VLOOKUP($A11,BD_Items,11,0)*$E11</f>
        <v>0</v>
      </c>
      <c r="S11" s="28" t="n">
        <f aca="false">VLOOKUP($A11,BD_Items,12,0)*$E11</f>
        <v>0</v>
      </c>
      <c r="T11" s="29" t="s">
        <v>149</v>
      </c>
      <c r="U11" s="29" t="n">
        <v>12285</v>
      </c>
      <c r="V11" s="30" t="s">
        <v>157</v>
      </c>
      <c r="W11" s="25" t="n">
        <v>10</v>
      </c>
    </row>
    <row r="12" customFormat="false" ht="12.8" hidden="false" customHeight="false" outlineLevel="0" collapsed="false">
      <c r="A12" s="20" t="s">
        <v>148</v>
      </c>
      <c r="B12" s="21" t="n">
        <f aca="false">VLOOKUP(A12,BD_Items,VLOOKUP($B$2,FT,2,0),0)</f>
        <v>0</v>
      </c>
      <c r="C12" s="22" t="n">
        <f aca="false">VLOOKUP(A12,BD_Items,13,0)</f>
        <v>0</v>
      </c>
      <c r="D12" s="23" t="e">
        <f aca="false">B12*100/C12</f>
        <v>#DIV/0!</v>
      </c>
      <c r="E12" s="21" t="n">
        <v>4</v>
      </c>
      <c r="F12" s="24" t="n">
        <f aca="false">B12*E12</f>
        <v>0</v>
      </c>
      <c r="G12" s="25" t="n">
        <f aca="false">C12*E12</f>
        <v>0</v>
      </c>
      <c r="H12" s="26" t="e">
        <f aca="false">(VLOOKUP($A12,BD_Items,2,0))*100/$C12</f>
        <v>#DIV/0!</v>
      </c>
      <c r="I12" s="26" t="e">
        <f aca="false">(VLOOKUP($A12,BD_Items,3,0))*100/$C12</f>
        <v>#DIV/0!</v>
      </c>
      <c r="J12" s="23" t="e">
        <f aca="false">(VLOOKUP($A12,BD_Items,4,0))*100/$C12</f>
        <v>#DIV/0!</v>
      </c>
      <c r="K12" s="23" t="e">
        <f aca="false">(VLOOKUP($A12,BD_Items,5,0))*100/$C12</f>
        <v>#DIV/0!</v>
      </c>
      <c r="L12" s="23" t="e">
        <f aca="false">(VLOOKUP($A12,BD_Items,6,0))*100/$C12</f>
        <v>#DIV/0!</v>
      </c>
      <c r="M12" s="23" t="e">
        <f aca="false">(VLOOKUP($A12,BD_Items,7,0))*100/$C12</f>
        <v>#DIV/0!</v>
      </c>
      <c r="N12" s="27" t="e">
        <f aca="false">(J12+K12+L12+M12)/4</f>
        <v>#DIV/0!</v>
      </c>
      <c r="O12" s="28" t="n">
        <f aca="false">VLOOKUP($A12,BD_Items,8,0)*$E12</f>
        <v>0</v>
      </c>
      <c r="P12" s="28" t="n">
        <f aca="false">VLOOKUP($A12,BD_Items,9,0)*$E12</f>
        <v>0</v>
      </c>
      <c r="Q12" s="28" t="n">
        <f aca="false">VLOOKUP($A12,BD_Items,10,0)*$E12</f>
        <v>0</v>
      </c>
      <c r="R12" s="28" t="n">
        <f aca="false">VLOOKUP($A12,BD_Items,11,0)*$E12</f>
        <v>0</v>
      </c>
      <c r="S12" s="28" t="n">
        <f aca="false">VLOOKUP($A12,BD_Items,12,0)*$E12</f>
        <v>0</v>
      </c>
      <c r="T12" s="31" t="s">
        <v>151</v>
      </c>
      <c r="U12" s="31" t="n">
        <v>58600</v>
      </c>
      <c r="V12" s="30" t="s">
        <v>158</v>
      </c>
      <c r="W12" s="25" t="n">
        <v>11</v>
      </c>
    </row>
    <row r="13" customFormat="false" ht="12.8" hidden="false" customHeight="false" outlineLevel="0" collapsed="false">
      <c r="A13" s="20" t="s">
        <v>148</v>
      </c>
      <c r="B13" s="21" t="n">
        <f aca="false">VLOOKUP(A13,BD_Items,VLOOKUP($B$2,FT,2,0),0)</f>
        <v>0</v>
      </c>
      <c r="C13" s="22" t="n">
        <f aca="false">VLOOKUP(A13,BD_Items,13,0)</f>
        <v>0</v>
      </c>
      <c r="D13" s="23" t="e">
        <f aca="false">B13*100/C13</f>
        <v>#DIV/0!</v>
      </c>
      <c r="E13" s="21" t="n">
        <v>1</v>
      </c>
      <c r="F13" s="24" t="n">
        <f aca="false">B13*E13</f>
        <v>0</v>
      </c>
      <c r="G13" s="25" t="n">
        <f aca="false">C13*E13</f>
        <v>0</v>
      </c>
      <c r="H13" s="26" t="e">
        <f aca="false">(VLOOKUP($A13,BD_Items,2,0))*100/$C13</f>
        <v>#DIV/0!</v>
      </c>
      <c r="I13" s="26" t="e">
        <f aca="false">(VLOOKUP($A13,BD_Items,3,0))*100/$C13</f>
        <v>#DIV/0!</v>
      </c>
      <c r="J13" s="23" t="e">
        <f aca="false">(VLOOKUP($A13,BD_Items,4,0))*100/$C13</f>
        <v>#DIV/0!</v>
      </c>
      <c r="K13" s="23" t="e">
        <f aca="false">(VLOOKUP($A13,BD_Items,5,0))*100/$C13</f>
        <v>#DIV/0!</v>
      </c>
      <c r="L13" s="23" t="e">
        <f aca="false">(VLOOKUP($A13,BD_Items,6,0))*100/$C13</f>
        <v>#DIV/0!</v>
      </c>
      <c r="M13" s="23" t="e">
        <f aca="false">(VLOOKUP($A13,BD_Items,7,0))*100/$C13</f>
        <v>#DIV/0!</v>
      </c>
      <c r="N13" s="27" t="e">
        <f aca="false">(J13+K13+L13+M13)/4</f>
        <v>#DIV/0!</v>
      </c>
      <c r="O13" s="28" t="n">
        <f aca="false">VLOOKUP($A13,BD_Items,8,0)*$E13</f>
        <v>0</v>
      </c>
      <c r="P13" s="28" t="n">
        <f aca="false">VLOOKUP($A13,BD_Items,9,0)*$E13</f>
        <v>0</v>
      </c>
      <c r="Q13" s="28" t="n">
        <f aca="false">VLOOKUP($A13,BD_Items,10,0)*$E13</f>
        <v>0</v>
      </c>
      <c r="R13" s="28" t="n">
        <f aca="false">VLOOKUP($A13,BD_Items,11,0)*$E13</f>
        <v>0</v>
      </c>
      <c r="S13" s="28" t="n">
        <f aca="false">VLOOKUP($A13,BD_Items,12,0)*$E13</f>
        <v>0</v>
      </c>
      <c r="V13" s="30" t="s">
        <v>159</v>
      </c>
      <c r="W13" s="25" t="n">
        <v>12</v>
      </c>
    </row>
    <row r="14" customFormat="false" ht="12.8" hidden="false" customHeight="false" outlineLevel="0" collapsed="false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  <c r="P14" s="34"/>
      <c r="Q14" s="34"/>
      <c r="R14" s="34"/>
      <c r="S14" s="34"/>
    </row>
    <row r="16" customFormat="false" ht="12.8" hidden="false" customHeight="false" outlineLevel="0" collapsed="false">
      <c r="A16" s="19" t="s">
        <v>117</v>
      </c>
      <c r="B16" s="19" t="s">
        <v>142</v>
      </c>
      <c r="C16" s="19" t="s">
        <v>145</v>
      </c>
      <c r="D16" s="19" t="s">
        <v>118</v>
      </c>
      <c r="E16" s="19" t="s">
        <v>160</v>
      </c>
      <c r="F16" s="19" t="s">
        <v>161</v>
      </c>
      <c r="G16" s="19" t="s">
        <v>162</v>
      </c>
      <c r="H16" s="19" t="s">
        <v>163</v>
      </c>
      <c r="I16" s="19" t="s">
        <v>164</v>
      </c>
      <c r="J16" s="19" t="s">
        <v>165</v>
      </c>
      <c r="K16" s="19" t="s">
        <v>166</v>
      </c>
      <c r="L16" s="19" t="s">
        <v>167</v>
      </c>
      <c r="M16" s="18" t="s">
        <v>119</v>
      </c>
      <c r="N16" s="35" t="s">
        <v>168</v>
      </c>
      <c r="O16" s="35" t="s">
        <v>169</v>
      </c>
      <c r="P16" s="35" t="s">
        <v>126</v>
      </c>
      <c r="Q16" s="35" t="s">
        <v>170</v>
      </c>
      <c r="R16" s="35" t="s">
        <v>125</v>
      </c>
      <c r="S16" s="35" t="s">
        <v>171</v>
      </c>
      <c r="T16" s="19" t="s">
        <v>172</v>
      </c>
      <c r="U16" s="18" t="s">
        <v>173</v>
      </c>
      <c r="V16" s="18" t="s">
        <v>174</v>
      </c>
      <c r="W16" s="19" t="s">
        <v>175</v>
      </c>
      <c r="Y16" s="1"/>
      <c r="Z16" s="1"/>
      <c r="AA16" s="1"/>
    </row>
    <row r="17" customFormat="false" ht="12.8" hidden="false" customHeight="false" outlineLevel="0" collapsed="false">
      <c r="A17" s="36" t="s">
        <v>176</v>
      </c>
      <c r="B17" s="37" t="n">
        <v>0</v>
      </c>
      <c r="C17" s="37" t="n">
        <v>0</v>
      </c>
      <c r="D17" s="38" t="n">
        <v>0</v>
      </c>
      <c r="E17" s="38" t="n">
        <v>24</v>
      </c>
      <c r="F17" s="38" t="n">
        <v>24</v>
      </c>
      <c r="G17" s="38" t="n">
        <v>24</v>
      </c>
      <c r="H17" s="39" t="n">
        <v>0</v>
      </c>
      <c r="I17" s="39" t="n">
        <v>24</v>
      </c>
      <c r="J17" s="39" t="n">
        <v>0</v>
      </c>
      <c r="K17" s="39" t="n">
        <v>0</v>
      </c>
      <c r="L17" s="39" t="n">
        <v>0</v>
      </c>
      <c r="M17" s="40" t="n">
        <v>2000</v>
      </c>
      <c r="N17" s="41" t="n">
        <f aca="false">((D17+E17+F17+G17)/4)*100/M17</f>
        <v>0.9</v>
      </c>
      <c r="O17" s="42" t="n">
        <f aca="false">((D17+E17)/3)*100/M17</f>
        <v>0.4</v>
      </c>
      <c r="P17" s="43" t="n">
        <f aca="false">D17*100/$M17</f>
        <v>0</v>
      </c>
      <c r="Q17" s="41" t="n">
        <f aca="false">E17*100/$M17</f>
        <v>1.2</v>
      </c>
      <c r="R17" s="41" t="n">
        <f aca="false">F17*100/$M17</f>
        <v>1.2</v>
      </c>
      <c r="S17" s="41" t="n">
        <f aca="false">G17*100/$M17</f>
        <v>1.2</v>
      </c>
      <c r="T17" s="30"/>
      <c r="U17" s="44" t="n">
        <v>0</v>
      </c>
      <c r="V17" s="44"/>
      <c r="W17" s="45" t="s">
        <v>177</v>
      </c>
      <c r="Y17" s="1"/>
      <c r="Z17" s="1"/>
      <c r="AA17" s="1"/>
    </row>
    <row r="18" customFormat="false" ht="12.8" hidden="false" customHeight="false" outlineLevel="0" collapsed="false">
      <c r="A18" s="45" t="s">
        <v>178</v>
      </c>
      <c r="B18" s="37" t="n">
        <v>0</v>
      </c>
      <c r="C18" s="37" t="n">
        <v>0</v>
      </c>
      <c r="D18" s="38" t="n">
        <v>15</v>
      </c>
      <c r="E18" s="38" t="n">
        <v>0</v>
      </c>
      <c r="F18" s="38" t="n">
        <v>15</v>
      </c>
      <c r="G18" s="38" t="n">
        <v>15</v>
      </c>
      <c r="H18" s="39" t="n">
        <v>0</v>
      </c>
      <c r="I18" s="39" t="n">
        <v>0</v>
      </c>
      <c r="J18" s="39" t="n">
        <v>0</v>
      </c>
      <c r="K18" s="39" t="n">
        <v>0</v>
      </c>
      <c r="L18" s="39" t="n">
        <v>0</v>
      </c>
      <c r="M18" s="40" t="n">
        <v>2500</v>
      </c>
      <c r="N18" s="41" t="n">
        <f aca="false">((D18+E18+F18+G18)/4)*100/M18</f>
        <v>0.45</v>
      </c>
      <c r="O18" s="42" t="n">
        <f aca="false">((D18+E18)/3)*100/M18</f>
        <v>0.2</v>
      </c>
      <c r="P18" s="41" t="n">
        <f aca="false">D18*100/$M18</f>
        <v>0.6</v>
      </c>
      <c r="Q18" s="43" t="n">
        <f aca="false">E18*100/$M18</f>
        <v>0</v>
      </c>
      <c r="R18" s="41" t="n">
        <f aca="false">F18*100/$M18</f>
        <v>0.6</v>
      </c>
      <c r="S18" s="41" t="n">
        <f aca="false">G18*100/$M18</f>
        <v>0.6</v>
      </c>
      <c r="T18" s="46" t="s">
        <v>179</v>
      </c>
      <c r="U18" s="44" t="n">
        <v>0</v>
      </c>
      <c r="V18" s="44"/>
      <c r="W18" s="45" t="s">
        <v>180</v>
      </c>
      <c r="Y18" s="1"/>
      <c r="Z18" s="1"/>
      <c r="AA18" s="1"/>
    </row>
    <row r="19" customFormat="false" ht="12.8" hidden="false" customHeight="false" outlineLevel="0" collapsed="false">
      <c r="A19" s="45" t="s">
        <v>181</v>
      </c>
      <c r="B19" s="37" t="n">
        <v>0</v>
      </c>
      <c r="C19" s="37" t="n">
        <v>0</v>
      </c>
      <c r="D19" s="38" t="n">
        <v>5</v>
      </c>
      <c r="E19" s="38" t="n">
        <v>0</v>
      </c>
      <c r="F19" s="38" t="n">
        <v>7</v>
      </c>
      <c r="G19" s="38" t="n">
        <v>7</v>
      </c>
      <c r="H19" s="39" t="n">
        <v>0</v>
      </c>
      <c r="I19" s="39" t="n">
        <v>0</v>
      </c>
      <c r="J19" s="39" t="n">
        <v>0</v>
      </c>
      <c r="K19" s="39" t="n">
        <v>0</v>
      </c>
      <c r="L19" s="39" t="n">
        <v>0</v>
      </c>
      <c r="M19" s="40" t="n">
        <v>1200</v>
      </c>
      <c r="N19" s="41" t="n">
        <f aca="false">((D19+E19+F19+G19)/4)*100/M19</f>
        <v>0.395833333333333</v>
      </c>
      <c r="O19" s="42" t="n">
        <f aca="false">((D19+E19)/3)*100/M19</f>
        <v>0.138888888888889</v>
      </c>
      <c r="P19" s="43" t="n">
        <f aca="false">D19*100/$M19</f>
        <v>0.416666666666667</v>
      </c>
      <c r="Q19" s="43" t="n">
        <f aca="false">E19*100/$M19</f>
        <v>0</v>
      </c>
      <c r="R19" s="43" t="n">
        <f aca="false">F19*100/$M19</f>
        <v>0.583333333333333</v>
      </c>
      <c r="S19" s="43" t="n">
        <f aca="false">G19*100/$M19</f>
        <v>0.583333333333333</v>
      </c>
      <c r="T19" s="30" t="s">
        <v>182</v>
      </c>
      <c r="U19" s="44" t="n">
        <v>1</v>
      </c>
      <c r="V19" s="44"/>
      <c r="W19" s="20" t="s">
        <v>183</v>
      </c>
      <c r="Y19" s="1"/>
      <c r="Z19" s="1"/>
      <c r="AA19" s="1"/>
    </row>
    <row r="20" customFormat="false" ht="12.8" hidden="false" customHeight="false" outlineLevel="0" collapsed="false">
      <c r="A20" s="45" t="s">
        <v>184</v>
      </c>
      <c r="B20" s="37" t="n">
        <v>0</v>
      </c>
      <c r="C20" s="37" t="n">
        <v>0</v>
      </c>
      <c r="D20" s="38" t="n">
        <v>3</v>
      </c>
      <c r="E20" s="38" t="n">
        <v>5</v>
      </c>
      <c r="F20" s="38" t="n">
        <v>0</v>
      </c>
      <c r="G20" s="38" t="n">
        <v>5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40" t="n">
        <v>900</v>
      </c>
      <c r="N20" s="41" t="n">
        <f aca="false">((D20+E20+F20+G20)/4)*100/M20</f>
        <v>0.361111111111111</v>
      </c>
      <c r="O20" s="42" t="n">
        <f aca="false">((D20+E20)/3)*100/M20</f>
        <v>0.296296296296296</v>
      </c>
      <c r="P20" s="43" t="n">
        <f aca="false">D20*100/$M20</f>
        <v>0.333333333333333</v>
      </c>
      <c r="Q20" s="43" t="n">
        <f aca="false">E20*100/$M20</f>
        <v>0.555555555555556</v>
      </c>
      <c r="R20" s="43" t="n">
        <f aca="false">F20*100/$M20</f>
        <v>0</v>
      </c>
      <c r="S20" s="43" t="n">
        <f aca="false">G20*100/$M20</f>
        <v>0.555555555555556</v>
      </c>
      <c r="T20" s="30" t="s">
        <v>185</v>
      </c>
      <c r="U20" s="44" t="n">
        <v>1</v>
      </c>
      <c r="V20" s="44" t="n">
        <v>19</v>
      </c>
      <c r="W20" s="20" t="s">
        <v>186</v>
      </c>
      <c r="Y20" s="1"/>
      <c r="Z20" s="1"/>
      <c r="AA20" s="1"/>
    </row>
    <row r="21" customFormat="false" ht="12.8" hidden="false" customHeight="false" outlineLevel="0" collapsed="false">
      <c r="A21" s="45" t="s">
        <v>187</v>
      </c>
      <c r="B21" s="37" t="n">
        <v>0</v>
      </c>
      <c r="C21" s="37" t="n">
        <v>0</v>
      </c>
      <c r="D21" s="38" t="n">
        <v>0</v>
      </c>
      <c r="E21" s="38" t="n">
        <v>0</v>
      </c>
      <c r="F21" s="38" t="n">
        <v>8</v>
      </c>
      <c r="G21" s="38" t="n">
        <v>8</v>
      </c>
      <c r="H21" s="39" t="n">
        <v>0</v>
      </c>
      <c r="I21" s="39" t="n">
        <v>0</v>
      </c>
      <c r="J21" s="39" t="n">
        <v>0</v>
      </c>
      <c r="K21" s="39" t="n">
        <v>0</v>
      </c>
      <c r="L21" s="39" t="n">
        <v>0</v>
      </c>
      <c r="M21" s="40" t="n">
        <v>1110</v>
      </c>
      <c r="N21" s="41" t="n">
        <f aca="false">((D21+E21+F21+G21)/4)*100/M21</f>
        <v>0.36036036036036</v>
      </c>
      <c r="O21" s="42" t="n">
        <f aca="false">((D21+E21)/3)*100/M21</f>
        <v>0</v>
      </c>
      <c r="P21" s="43" t="n">
        <f aca="false">D21*100/$M21</f>
        <v>0</v>
      </c>
      <c r="Q21" s="43" t="n">
        <f aca="false">E21*100/$M21</f>
        <v>0</v>
      </c>
      <c r="R21" s="41" t="n">
        <f aca="false">F21*100/$M21</f>
        <v>0.720720720720721</v>
      </c>
      <c r="S21" s="41" t="n">
        <f aca="false">G21*100/$M21</f>
        <v>0.720720720720721</v>
      </c>
      <c r="T21" s="30" t="s">
        <v>188</v>
      </c>
      <c r="U21" s="44" t="n">
        <v>4</v>
      </c>
      <c r="V21" s="44"/>
      <c r="W21" s="20" t="s">
        <v>189</v>
      </c>
      <c r="Y21" s="1"/>
      <c r="Z21" s="1"/>
      <c r="AA21" s="1"/>
    </row>
    <row r="22" customFormat="false" ht="12.8" hidden="false" customHeight="false" outlineLevel="0" collapsed="false">
      <c r="A22" s="45" t="s">
        <v>190</v>
      </c>
      <c r="B22" s="37" t="n">
        <v>0</v>
      </c>
      <c r="C22" s="37" t="n">
        <v>0</v>
      </c>
      <c r="D22" s="38" t="n">
        <v>4</v>
      </c>
      <c r="E22" s="38" t="n">
        <v>0</v>
      </c>
      <c r="F22" s="38" t="n">
        <v>4</v>
      </c>
      <c r="G22" s="38" t="n">
        <v>4</v>
      </c>
      <c r="H22" s="39" t="n">
        <v>5</v>
      </c>
      <c r="I22" s="39" t="n">
        <v>0</v>
      </c>
      <c r="J22" s="39" t="n">
        <v>0</v>
      </c>
      <c r="K22" s="39" t="n">
        <v>0</v>
      </c>
      <c r="L22" s="39" t="n">
        <v>0</v>
      </c>
      <c r="M22" s="40" t="n">
        <v>860</v>
      </c>
      <c r="N22" s="41" t="n">
        <f aca="false">((D22+E22+F22+G22)/4)*100/M22</f>
        <v>0.348837209302326</v>
      </c>
      <c r="O22" s="42" t="n">
        <f aca="false">((D22+E22)/3)*100/M22</f>
        <v>0.155038759689922</v>
      </c>
      <c r="P22" s="43" t="n">
        <f aca="false">D22*100/$M22</f>
        <v>0.465116279069767</v>
      </c>
      <c r="Q22" s="43" t="n">
        <f aca="false">E22*100/$M22</f>
        <v>0</v>
      </c>
      <c r="R22" s="43" t="n">
        <f aca="false">F22*100/$M22</f>
        <v>0.465116279069767</v>
      </c>
      <c r="S22" s="43" t="n">
        <f aca="false">G22*100/$M22</f>
        <v>0.465116279069767</v>
      </c>
      <c r="T22" s="30" t="s">
        <v>191</v>
      </c>
      <c r="U22" s="44" t="n">
        <v>9</v>
      </c>
      <c r="V22" s="44"/>
      <c r="W22" s="45" t="s">
        <v>192</v>
      </c>
      <c r="Y22" s="1"/>
      <c r="Z22" s="1"/>
      <c r="AA22" s="1"/>
    </row>
    <row r="23" customFormat="false" ht="12.8" hidden="false" customHeight="false" outlineLevel="0" collapsed="false">
      <c r="A23" s="20" t="s">
        <v>193</v>
      </c>
      <c r="B23" s="37" t="n">
        <v>0</v>
      </c>
      <c r="C23" s="37" t="n">
        <v>0</v>
      </c>
      <c r="D23" s="38" t="n">
        <v>0</v>
      </c>
      <c r="E23" s="38" t="n">
        <v>0</v>
      </c>
      <c r="F23" s="38" t="n">
        <v>6</v>
      </c>
      <c r="G23" s="38" t="n">
        <v>16</v>
      </c>
      <c r="H23" s="39" t="n">
        <v>0</v>
      </c>
      <c r="I23" s="39" t="n">
        <v>0</v>
      </c>
      <c r="J23" s="39" t="n">
        <v>0</v>
      </c>
      <c r="K23" s="39" t="n">
        <v>6</v>
      </c>
      <c r="L23" s="39" t="n">
        <v>0</v>
      </c>
      <c r="M23" s="40" t="n">
        <v>1580</v>
      </c>
      <c r="N23" s="41" t="n">
        <f aca="false">((D23+E23+F23+G23)/4)*100/M23</f>
        <v>0.348101265822785</v>
      </c>
      <c r="O23" s="42" t="n">
        <f aca="false">((D23+E23)/3)*100/M23</f>
        <v>0</v>
      </c>
      <c r="P23" s="43" t="n">
        <f aca="false">D23*100/$M23</f>
        <v>0</v>
      </c>
      <c r="Q23" s="43" t="n">
        <f aca="false">E23*100/$M23</f>
        <v>0</v>
      </c>
      <c r="R23" s="43" t="n">
        <f aca="false">F23*100/$M23</f>
        <v>0.379746835443038</v>
      </c>
      <c r="S23" s="41" t="n">
        <f aca="false">G23*100/$M23</f>
        <v>1.0126582278481</v>
      </c>
      <c r="T23" s="46" t="s">
        <v>194</v>
      </c>
      <c r="U23" s="44" t="n">
        <v>0</v>
      </c>
      <c r="V23" s="44"/>
      <c r="W23" s="45" t="s">
        <v>195</v>
      </c>
      <c r="Y23" s="1"/>
      <c r="Z23" s="1"/>
      <c r="AA23" s="1"/>
    </row>
    <row r="24" customFormat="false" ht="12.8" hidden="false" customHeight="false" outlineLevel="0" collapsed="false">
      <c r="A24" s="20" t="s">
        <v>196</v>
      </c>
      <c r="B24" s="37" t="n">
        <v>0</v>
      </c>
      <c r="C24" s="37" t="n">
        <v>0</v>
      </c>
      <c r="D24" s="38" t="n">
        <v>3</v>
      </c>
      <c r="E24" s="38" t="n">
        <v>3</v>
      </c>
      <c r="F24" s="38" t="n">
        <v>0</v>
      </c>
      <c r="G24" s="38" t="n">
        <v>2</v>
      </c>
      <c r="H24" s="39" t="n">
        <v>0</v>
      </c>
      <c r="I24" s="39" t="n">
        <v>0</v>
      </c>
      <c r="J24" s="39" t="n">
        <v>0</v>
      </c>
      <c r="K24" s="39" t="n">
        <v>0</v>
      </c>
      <c r="L24" s="39" t="n">
        <v>0</v>
      </c>
      <c r="M24" s="40" t="n">
        <v>590</v>
      </c>
      <c r="N24" s="42" t="n">
        <f aca="false">((D24+E24+F24+G24)/4)*100/M24</f>
        <v>0.338983050847458</v>
      </c>
      <c r="O24" s="42" t="n">
        <f aca="false">((D24+E24)/3)*100/M24</f>
        <v>0.338983050847458</v>
      </c>
      <c r="P24" s="43" t="n">
        <f aca="false">D24*100/$M24</f>
        <v>0.508474576271186</v>
      </c>
      <c r="Q24" s="43" t="n">
        <f aca="false">E24*100/$M24</f>
        <v>0.508474576271186</v>
      </c>
      <c r="R24" s="43" t="n">
        <f aca="false">F24*100/$M24</f>
        <v>0</v>
      </c>
      <c r="S24" s="43" t="n">
        <f aca="false">G24*100/$M24</f>
        <v>0.338983050847458</v>
      </c>
      <c r="T24" s="30" t="s">
        <v>197</v>
      </c>
      <c r="U24" s="44" t="n">
        <v>16</v>
      </c>
      <c r="V24" s="44" t="n">
        <v>7</v>
      </c>
      <c r="W24" s="20"/>
      <c r="Y24" s="1"/>
      <c r="Z24" s="1"/>
      <c r="AA24" s="1"/>
    </row>
    <row r="25" customFormat="false" ht="12.8" hidden="false" customHeight="false" outlineLevel="0" collapsed="false">
      <c r="A25" s="20" t="s">
        <v>198</v>
      </c>
      <c r="B25" s="37" t="n">
        <v>0</v>
      </c>
      <c r="C25" s="37" t="n">
        <v>0</v>
      </c>
      <c r="D25" s="38" t="n">
        <v>5</v>
      </c>
      <c r="E25" s="38" t="n">
        <v>5</v>
      </c>
      <c r="F25" s="38" t="n">
        <v>0</v>
      </c>
      <c r="G25" s="38" t="n">
        <v>2</v>
      </c>
      <c r="H25" s="39" t="n">
        <v>0</v>
      </c>
      <c r="I25" s="39" t="n">
        <v>0</v>
      </c>
      <c r="J25" s="39" t="n">
        <v>0</v>
      </c>
      <c r="K25" s="39" t="n">
        <v>0</v>
      </c>
      <c r="L25" s="39" t="n">
        <v>0</v>
      </c>
      <c r="M25" s="40" t="n">
        <v>890</v>
      </c>
      <c r="N25" s="42" t="n">
        <f aca="false">((D25+E25+F25+G25)/4)*100/M25</f>
        <v>0.337078651685393</v>
      </c>
      <c r="O25" s="42" t="n">
        <f aca="false">((D25+E25)/3)*100/M25</f>
        <v>0.374531835205993</v>
      </c>
      <c r="P25" s="43" t="n">
        <f aca="false">D25*100/$M25</f>
        <v>0.561797752808989</v>
      </c>
      <c r="Q25" s="43" t="n">
        <f aca="false">E25*100/$M25</f>
        <v>0.561797752808989</v>
      </c>
      <c r="R25" s="43" t="n">
        <f aca="false">F25*100/$M25</f>
        <v>0</v>
      </c>
      <c r="S25" s="43" t="n">
        <f aca="false">G25*100/$M25</f>
        <v>0.224719101123596</v>
      </c>
      <c r="T25" s="30" t="s">
        <v>148</v>
      </c>
      <c r="U25" s="44" t="n">
        <v>15</v>
      </c>
      <c r="V25" s="44" t="n">
        <v>16</v>
      </c>
      <c r="W25" s="20" t="s">
        <v>186</v>
      </c>
      <c r="Y25" s="1"/>
      <c r="Z25" s="1"/>
      <c r="AA25" s="1"/>
    </row>
    <row r="26" customFormat="false" ht="12.8" hidden="false" customHeight="false" outlineLevel="0" collapsed="false">
      <c r="A26" s="45" t="s">
        <v>199</v>
      </c>
      <c r="B26" s="37" t="n">
        <v>0</v>
      </c>
      <c r="C26" s="37" t="n">
        <v>0</v>
      </c>
      <c r="D26" s="38" t="n">
        <v>3</v>
      </c>
      <c r="E26" s="38" t="n">
        <v>3</v>
      </c>
      <c r="F26" s="38" t="n">
        <v>5</v>
      </c>
      <c r="G26" s="38" t="n">
        <v>0</v>
      </c>
      <c r="H26" s="39" t="n">
        <v>0</v>
      </c>
      <c r="I26" s="39" t="n">
        <v>0</v>
      </c>
      <c r="J26" s="39" t="n">
        <v>0</v>
      </c>
      <c r="K26" s="39" t="n">
        <v>0</v>
      </c>
      <c r="L26" s="39" t="n">
        <v>0</v>
      </c>
      <c r="M26" s="40" t="n">
        <v>860</v>
      </c>
      <c r="N26" s="42" t="n">
        <f aca="false">((D26+E26+F26+G26)/4)*100/M26</f>
        <v>0.319767441860465</v>
      </c>
      <c r="O26" s="42" t="n">
        <f aca="false">((D26+E26)/3)*100/M26</f>
        <v>0.232558139534884</v>
      </c>
      <c r="P26" s="43" t="n">
        <f aca="false">D26*100/$M26</f>
        <v>0.348837209302326</v>
      </c>
      <c r="Q26" s="43" t="n">
        <f aca="false">E26*100/$M26</f>
        <v>0.348837209302326</v>
      </c>
      <c r="R26" s="43" t="n">
        <f aca="false">F26*100/$M26</f>
        <v>0.581395348837209</v>
      </c>
      <c r="S26" s="43" t="n">
        <f aca="false">G26*100/$M26</f>
        <v>0</v>
      </c>
      <c r="T26" s="30" t="s">
        <v>200</v>
      </c>
      <c r="U26" s="44" t="n">
        <v>20</v>
      </c>
      <c r="V26" s="44" t="n">
        <v>19</v>
      </c>
      <c r="W26" s="20" t="s">
        <v>201</v>
      </c>
      <c r="Y26" s="1"/>
      <c r="Z26" s="1"/>
      <c r="AA26" s="1"/>
    </row>
    <row r="27" customFormat="false" ht="12.8" hidden="false" customHeight="false" outlineLevel="0" collapsed="false">
      <c r="A27" s="20" t="s">
        <v>202</v>
      </c>
      <c r="B27" s="37" t="n">
        <v>0</v>
      </c>
      <c r="C27" s="37" t="n">
        <v>0</v>
      </c>
      <c r="D27" s="38" t="n">
        <v>0</v>
      </c>
      <c r="E27" s="38" t="n">
        <v>0</v>
      </c>
      <c r="F27" s="38" t="n">
        <v>6</v>
      </c>
      <c r="G27" s="38" t="n">
        <v>6</v>
      </c>
      <c r="H27" s="39" t="n">
        <v>0</v>
      </c>
      <c r="I27" s="39" t="n">
        <v>0</v>
      </c>
      <c r="J27" s="39" t="n">
        <v>0</v>
      </c>
      <c r="K27" s="39" t="n">
        <v>0</v>
      </c>
      <c r="L27" s="39" t="n">
        <v>0</v>
      </c>
      <c r="M27" s="40" t="n">
        <v>950</v>
      </c>
      <c r="N27" s="42" t="n">
        <f aca="false">((D27+E27+F27+G27)/4)*100/M27</f>
        <v>0.315789473684211</v>
      </c>
      <c r="O27" s="42" t="n">
        <f aca="false">((D27+E27)/3)*100/M27</f>
        <v>0</v>
      </c>
      <c r="P27" s="43" t="n">
        <f aca="false">D27*100/$M27</f>
        <v>0</v>
      </c>
      <c r="Q27" s="43" t="n">
        <f aca="false">E27*100/$M27</f>
        <v>0</v>
      </c>
      <c r="R27" s="41" t="n">
        <f aca="false">F27*100/$M27</f>
        <v>0.631578947368421</v>
      </c>
      <c r="S27" s="41" t="n">
        <f aca="false">G27*100/$M27</f>
        <v>0.631578947368421</v>
      </c>
      <c r="T27" s="46" t="s">
        <v>203</v>
      </c>
      <c r="U27" s="44" t="n">
        <v>1</v>
      </c>
      <c r="V27" s="44"/>
      <c r="W27" s="20" t="s">
        <v>192</v>
      </c>
      <c r="Y27" s="1"/>
      <c r="Z27" s="1"/>
      <c r="AA27" s="1"/>
    </row>
    <row r="28" customFormat="false" ht="12.8" hidden="false" customHeight="false" outlineLevel="0" collapsed="false">
      <c r="A28" s="20" t="s">
        <v>204</v>
      </c>
      <c r="B28" s="37" t="n">
        <v>0</v>
      </c>
      <c r="C28" s="37" t="n">
        <v>0</v>
      </c>
      <c r="D28" s="38" t="n">
        <v>0</v>
      </c>
      <c r="E28" s="38" t="n">
        <v>8</v>
      </c>
      <c r="F28" s="38" t="n">
        <v>0</v>
      </c>
      <c r="G28" s="38" t="n">
        <v>8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40" t="n">
        <v>1300</v>
      </c>
      <c r="N28" s="42" t="n">
        <f aca="false">((D28+E28+F28+G28)/4)*100/M28</f>
        <v>0.307692307692308</v>
      </c>
      <c r="O28" s="42" t="n">
        <f aca="false">((D28+E28)/3)*100/M28</f>
        <v>0.205128205128205</v>
      </c>
      <c r="P28" s="43" t="n">
        <f aca="false">D28*100/$M28</f>
        <v>0</v>
      </c>
      <c r="Q28" s="41" t="n">
        <f aca="false">E28*100/$M28</f>
        <v>0.615384615384615</v>
      </c>
      <c r="R28" s="43" t="n">
        <f aca="false">F28*100/$M28</f>
        <v>0</v>
      </c>
      <c r="S28" s="41" t="n">
        <f aca="false">G28*100/$M28</f>
        <v>0.615384615384615</v>
      </c>
      <c r="T28" s="30" t="s">
        <v>148</v>
      </c>
      <c r="U28" s="44" t="n">
        <v>99</v>
      </c>
      <c r="V28" s="44"/>
      <c r="W28" s="45"/>
      <c r="Y28" s="1"/>
      <c r="Z28" s="1"/>
      <c r="AA28" s="1"/>
    </row>
    <row r="29" customFormat="false" ht="12.8" hidden="false" customHeight="false" outlineLevel="0" collapsed="false">
      <c r="A29" s="20" t="s">
        <v>205</v>
      </c>
      <c r="B29" s="37" t="n">
        <v>0</v>
      </c>
      <c r="C29" s="37" t="n">
        <v>0</v>
      </c>
      <c r="D29" s="38" t="n">
        <v>10</v>
      </c>
      <c r="E29" s="38" t="n">
        <v>0</v>
      </c>
      <c r="F29" s="38" t="n">
        <v>10</v>
      </c>
      <c r="G29" s="38" t="n">
        <v>0</v>
      </c>
      <c r="H29" s="39" t="n">
        <v>5</v>
      </c>
      <c r="I29" s="39" t="n">
        <v>0</v>
      </c>
      <c r="J29" s="39" t="n">
        <v>0</v>
      </c>
      <c r="K29" s="39" t="n">
        <v>0</v>
      </c>
      <c r="L29" s="39" t="n">
        <v>0</v>
      </c>
      <c r="M29" s="40" t="n">
        <v>1640</v>
      </c>
      <c r="N29" s="42" t="n">
        <f aca="false">((D29+E29+F29+G29)/4)*100/M29</f>
        <v>0.304878048780488</v>
      </c>
      <c r="O29" s="42" t="n">
        <f aca="false">((D29+E29)/3)*100/M29</f>
        <v>0.203252032520325</v>
      </c>
      <c r="P29" s="41" t="n">
        <f aca="false">D29*100/$M29</f>
        <v>0.609756097560976</v>
      </c>
      <c r="Q29" s="43" t="n">
        <f aca="false">E29*100/$M29</f>
        <v>0</v>
      </c>
      <c r="R29" s="41" t="n">
        <f aca="false">F29*100/$M29</f>
        <v>0.609756097560976</v>
      </c>
      <c r="S29" s="43" t="n">
        <f aca="false">G29*100/$M29</f>
        <v>0</v>
      </c>
      <c r="T29" s="30" t="s">
        <v>206</v>
      </c>
      <c r="U29" s="24"/>
      <c r="V29" s="24"/>
      <c r="W29" s="45" t="s">
        <v>207</v>
      </c>
      <c r="Y29" s="1"/>
      <c r="Z29" s="1"/>
      <c r="AA29" s="1"/>
    </row>
    <row r="30" customFormat="false" ht="12.8" hidden="false" customHeight="false" outlineLevel="0" collapsed="false">
      <c r="A30" s="20" t="s">
        <v>208</v>
      </c>
      <c r="B30" s="37" t="n">
        <v>0</v>
      </c>
      <c r="C30" s="37" t="n">
        <v>0</v>
      </c>
      <c r="D30" s="38" t="n">
        <v>4</v>
      </c>
      <c r="E30" s="38" t="n">
        <v>0</v>
      </c>
      <c r="F30" s="38" t="n">
        <v>0</v>
      </c>
      <c r="G30" s="38" t="n">
        <v>4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  <c r="M30" s="40" t="n">
        <v>660</v>
      </c>
      <c r="N30" s="42" t="n">
        <f aca="false">((D30+E30+F30+G30)/4)*100/M30</f>
        <v>0.303030303030303</v>
      </c>
      <c r="O30" s="42" t="n">
        <f aca="false">((D30+E30)/3)*100/M30</f>
        <v>0.202020202020202</v>
      </c>
      <c r="P30" s="43" t="n">
        <f aca="false">D30*100/$M30</f>
        <v>0.606060606060606</v>
      </c>
      <c r="Q30" s="43" t="n">
        <f aca="false">E30*100/$M30</f>
        <v>0</v>
      </c>
      <c r="R30" s="43" t="n">
        <f aca="false">F30*100/$M30</f>
        <v>0</v>
      </c>
      <c r="S30" s="43" t="n">
        <f aca="false">G30*100/$M30</f>
        <v>0.606060606060606</v>
      </c>
      <c r="T30" s="46" t="s">
        <v>209</v>
      </c>
      <c r="U30" s="44"/>
      <c r="V30" s="44"/>
      <c r="W30" s="20"/>
      <c r="Y30" s="1"/>
      <c r="Z30" s="1"/>
      <c r="AA30" s="1"/>
    </row>
    <row r="31" customFormat="false" ht="12.8" hidden="false" customHeight="false" outlineLevel="0" collapsed="false">
      <c r="A31" s="20" t="s">
        <v>210</v>
      </c>
      <c r="B31" s="37" t="n">
        <v>0</v>
      </c>
      <c r="C31" s="37" t="n">
        <v>0</v>
      </c>
      <c r="D31" s="38" t="n">
        <v>0</v>
      </c>
      <c r="E31" s="38" t="n">
        <v>0</v>
      </c>
      <c r="F31" s="38" t="n">
        <v>4</v>
      </c>
      <c r="G31" s="38" t="n">
        <v>4</v>
      </c>
      <c r="H31" s="39" t="n">
        <v>0</v>
      </c>
      <c r="I31" s="39" t="n">
        <v>0</v>
      </c>
      <c r="J31" s="39" t="n">
        <v>0</v>
      </c>
      <c r="K31" s="39" t="n">
        <v>2</v>
      </c>
      <c r="L31" s="39" t="n">
        <v>0</v>
      </c>
      <c r="M31" s="40" t="n">
        <v>660</v>
      </c>
      <c r="N31" s="42" t="n">
        <f aca="false">((D31+E31+F31+G31)/4)*100/M31</f>
        <v>0.303030303030303</v>
      </c>
      <c r="O31" s="42" t="n">
        <f aca="false">((D31+E31)/3)*100/M31</f>
        <v>0</v>
      </c>
      <c r="P31" s="43" t="n">
        <f aca="false">D31*100/$M31</f>
        <v>0</v>
      </c>
      <c r="Q31" s="43" t="n">
        <f aca="false">E31*100/$M31</f>
        <v>0</v>
      </c>
      <c r="R31" s="43" t="n">
        <f aca="false">F31*100/$M31</f>
        <v>0.606060606060606</v>
      </c>
      <c r="S31" s="43" t="n">
        <f aca="false">G31*100/$M31</f>
        <v>0.606060606060606</v>
      </c>
      <c r="T31" s="30" t="s">
        <v>211</v>
      </c>
      <c r="U31" s="44"/>
      <c r="V31" s="44"/>
      <c r="W31" s="20"/>
      <c r="Y31" s="1"/>
      <c r="Z31" s="1"/>
      <c r="AA31" s="1"/>
    </row>
    <row r="32" customFormat="false" ht="12.8" hidden="false" customHeight="false" outlineLevel="0" collapsed="false">
      <c r="A32" s="20" t="s">
        <v>212</v>
      </c>
      <c r="B32" s="37" t="n">
        <v>0</v>
      </c>
      <c r="C32" s="37" t="n">
        <v>0</v>
      </c>
      <c r="D32" s="38" t="n">
        <v>0</v>
      </c>
      <c r="E32" s="38" t="n">
        <v>3</v>
      </c>
      <c r="F32" s="38" t="n">
        <v>3</v>
      </c>
      <c r="G32" s="38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  <c r="M32" s="40" t="n">
        <v>500</v>
      </c>
      <c r="N32" s="42" t="n">
        <f aca="false">((D32+E32+F32+G32)/4)*100/M32</f>
        <v>0.3</v>
      </c>
      <c r="O32" s="42" t="n">
        <f aca="false">((D32+E32)/3)*100/M32</f>
        <v>0.2</v>
      </c>
      <c r="P32" s="43" t="n">
        <f aca="false">D32*100/$M32</f>
        <v>0</v>
      </c>
      <c r="Q32" s="41" t="n">
        <f aca="false">E32*100/$M32</f>
        <v>0.6</v>
      </c>
      <c r="R32" s="41" t="n">
        <f aca="false">F32*100/$M32</f>
        <v>0.6</v>
      </c>
      <c r="S32" s="43" t="n">
        <f aca="false">G32*100/$M32</f>
        <v>0</v>
      </c>
      <c r="T32" s="30" t="s">
        <v>213</v>
      </c>
      <c r="U32" s="44"/>
      <c r="V32" s="44"/>
      <c r="W32" s="20"/>
      <c r="Y32" s="1"/>
      <c r="Z32" s="1"/>
      <c r="AA32" s="1"/>
    </row>
    <row r="33" customFormat="false" ht="12.8" hidden="false" customHeight="false" outlineLevel="0" collapsed="false">
      <c r="A33" s="20" t="s">
        <v>214</v>
      </c>
      <c r="B33" s="37" t="n">
        <v>0</v>
      </c>
      <c r="C33" s="37" t="n">
        <v>0</v>
      </c>
      <c r="D33" s="38" t="n">
        <v>0</v>
      </c>
      <c r="E33" s="38" t="n">
        <v>8</v>
      </c>
      <c r="F33" s="38" t="n">
        <v>8</v>
      </c>
      <c r="G33" s="38" t="n">
        <v>8</v>
      </c>
      <c r="H33" s="39" t="n">
        <v>0</v>
      </c>
      <c r="I33" s="39" t="n">
        <v>8</v>
      </c>
      <c r="J33" s="39" t="n">
        <v>0</v>
      </c>
      <c r="K33" s="39" t="n">
        <v>0</v>
      </c>
      <c r="L33" s="39" t="n">
        <v>0</v>
      </c>
      <c r="M33" s="40" t="n">
        <v>2000</v>
      </c>
      <c r="N33" s="42" t="n">
        <f aca="false">((D33+E33+F33+G33)/4)*100/M33</f>
        <v>0.3</v>
      </c>
      <c r="O33" s="42" t="n">
        <f aca="false">((D33+E33)/3)*100/M33</f>
        <v>0.133333333333333</v>
      </c>
      <c r="P33" s="43" t="n">
        <f aca="false">D33*100/$M33</f>
        <v>0</v>
      </c>
      <c r="Q33" s="43" t="n">
        <f aca="false">E33*100/$M33</f>
        <v>0.4</v>
      </c>
      <c r="R33" s="43" t="n">
        <f aca="false">F33*100/$M33</f>
        <v>0.4</v>
      </c>
      <c r="S33" s="43" t="n">
        <f aca="false">G33*100/$M33</f>
        <v>0.4</v>
      </c>
      <c r="T33" s="30" t="s">
        <v>148</v>
      </c>
      <c r="U33" s="44"/>
      <c r="V33" s="44"/>
      <c r="W33" s="20"/>
      <c r="Y33" s="1"/>
      <c r="Z33" s="1"/>
      <c r="AA33" s="1"/>
    </row>
    <row r="34" customFormat="false" ht="12.8" hidden="false" customHeight="false" outlineLevel="0" collapsed="false">
      <c r="A34" s="45" t="s">
        <v>215</v>
      </c>
      <c r="B34" s="37" t="n">
        <v>0</v>
      </c>
      <c r="C34" s="37" t="n">
        <v>0</v>
      </c>
      <c r="D34" s="38" t="n">
        <v>0</v>
      </c>
      <c r="E34" s="38" t="n">
        <v>0</v>
      </c>
      <c r="F34" s="38" t="n">
        <v>13</v>
      </c>
      <c r="G34" s="38" t="n">
        <v>13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40" t="n">
        <v>2200</v>
      </c>
      <c r="N34" s="42" t="n">
        <f aca="false">((D34+E34+F34+G34)/4)*100/M34</f>
        <v>0.295454545454545</v>
      </c>
      <c r="O34" s="42" t="n">
        <f aca="false">((D34+E34)/3)*100/M34</f>
        <v>0</v>
      </c>
      <c r="P34" s="43" t="n">
        <f aca="false">D34*100/$M34</f>
        <v>0</v>
      </c>
      <c r="Q34" s="43" t="n">
        <f aca="false">E34*100/$M34</f>
        <v>0</v>
      </c>
      <c r="R34" s="43" t="n">
        <f aca="false">F34*100/$M34</f>
        <v>0.590909090909091</v>
      </c>
      <c r="S34" s="43" t="n">
        <f aca="false">G34*100/$M34</f>
        <v>0.590909090909091</v>
      </c>
      <c r="T34" s="30" t="s">
        <v>216</v>
      </c>
      <c r="U34" s="44"/>
      <c r="V34" s="44"/>
      <c r="W34" s="20"/>
      <c r="Y34" s="1"/>
      <c r="Z34" s="1"/>
      <c r="AA34" s="1"/>
    </row>
    <row r="35" customFormat="false" ht="12.8" hidden="false" customHeight="false" outlineLevel="0" collapsed="false">
      <c r="A35" s="20" t="s">
        <v>217</v>
      </c>
      <c r="B35" s="37" t="n">
        <v>0</v>
      </c>
      <c r="C35" s="37" t="n">
        <v>0</v>
      </c>
      <c r="D35" s="38" t="n">
        <v>15</v>
      </c>
      <c r="E35" s="38" t="n">
        <v>7</v>
      </c>
      <c r="F35" s="38" t="n">
        <v>7</v>
      </c>
      <c r="G35" s="38" t="n">
        <v>0</v>
      </c>
      <c r="H35" s="39" t="n">
        <v>10</v>
      </c>
      <c r="I35" s="39" t="n">
        <v>0</v>
      </c>
      <c r="J35" s="39" t="n">
        <v>0</v>
      </c>
      <c r="K35" s="39" t="n">
        <v>0</v>
      </c>
      <c r="L35" s="39" t="n">
        <v>0</v>
      </c>
      <c r="M35" s="40" t="n">
        <v>2480</v>
      </c>
      <c r="N35" s="42" t="n">
        <f aca="false">((D35+E35+F35+G35)/4)*100/M35</f>
        <v>0.292338709677419</v>
      </c>
      <c r="O35" s="42" t="n">
        <f aca="false">((D35+E35)/3)*100/M35</f>
        <v>0.295698924731183</v>
      </c>
      <c r="P35" s="41" t="n">
        <f aca="false">D35*100/$M35</f>
        <v>0.604838709677419</v>
      </c>
      <c r="Q35" s="43" t="n">
        <f aca="false">E35*100/$M35</f>
        <v>0.282258064516129</v>
      </c>
      <c r="R35" s="43" t="n">
        <f aca="false">F35*100/$M35</f>
        <v>0.282258064516129</v>
      </c>
      <c r="S35" s="43" t="n">
        <f aca="false">G35*100/$M35</f>
        <v>0</v>
      </c>
      <c r="T35" s="30" t="s">
        <v>218</v>
      </c>
      <c r="U35" s="44"/>
      <c r="V35" s="44"/>
      <c r="W35" s="45" t="s">
        <v>219</v>
      </c>
      <c r="Y35" s="1"/>
      <c r="Z35" s="1"/>
      <c r="AA35" s="1"/>
    </row>
    <row r="36" customFormat="false" ht="12.8" hidden="false" customHeight="false" outlineLevel="0" collapsed="false">
      <c r="A36" s="20" t="s">
        <v>220</v>
      </c>
      <c r="B36" s="37" t="n">
        <v>0</v>
      </c>
      <c r="C36" s="37" t="n">
        <v>0</v>
      </c>
      <c r="D36" s="38" t="n">
        <v>0</v>
      </c>
      <c r="E36" s="38" t="n">
        <v>26</v>
      </c>
      <c r="F36" s="38" t="n">
        <v>0</v>
      </c>
      <c r="G36" s="38" t="n">
        <v>0</v>
      </c>
      <c r="H36" s="39" t="n">
        <v>0</v>
      </c>
      <c r="I36" s="39" t="n">
        <v>0</v>
      </c>
      <c r="J36" s="39" t="n">
        <v>0</v>
      </c>
      <c r="K36" s="39" t="n">
        <v>0</v>
      </c>
      <c r="L36" s="39" t="n">
        <v>0</v>
      </c>
      <c r="M36" s="40" t="n">
        <v>2300</v>
      </c>
      <c r="N36" s="42" t="n">
        <f aca="false">((D36+E36+F36+G36)/4)*100/M36</f>
        <v>0.282608695652174</v>
      </c>
      <c r="O36" s="42" t="n">
        <f aca="false">((D36+E36)/3)*100/M36</f>
        <v>0.376811594202899</v>
      </c>
      <c r="P36" s="43" t="n">
        <f aca="false">D36*100/$M36</f>
        <v>0</v>
      </c>
      <c r="Q36" s="41" t="n">
        <f aca="false">E36*100/$M36</f>
        <v>1.1304347826087</v>
      </c>
      <c r="R36" s="43" t="n">
        <f aca="false">F36*100/$M36</f>
        <v>0</v>
      </c>
      <c r="S36" s="43" t="n">
        <f aca="false">G36*100/$M36</f>
        <v>0</v>
      </c>
      <c r="T36" s="30" t="s">
        <v>148</v>
      </c>
      <c r="U36" s="44"/>
      <c r="V36" s="44"/>
      <c r="W36" s="20"/>
      <c r="Y36" s="1"/>
      <c r="Z36" s="1"/>
      <c r="AA36" s="1"/>
    </row>
    <row r="37" customFormat="false" ht="12.8" hidden="false" customHeight="false" outlineLevel="0" collapsed="false">
      <c r="A37" s="20" t="s">
        <v>221</v>
      </c>
      <c r="B37" s="37" t="n">
        <v>0</v>
      </c>
      <c r="C37" s="37" t="n">
        <v>0</v>
      </c>
      <c r="D37" s="38" t="n">
        <v>10</v>
      </c>
      <c r="E37" s="38" t="n">
        <v>10</v>
      </c>
      <c r="F37" s="38" t="n">
        <v>0</v>
      </c>
      <c r="G37" s="38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10</v>
      </c>
      <c r="M37" s="40" t="n">
        <v>1800</v>
      </c>
      <c r="N37" s="42" t="n">
        <f aca="false">((D37+E37+F37+G37)/4)*100/M37</f>
        <v>0.277777777777778</v>
      </c>
      <c r="O37" s="42" t="n">
        <f aca="false">((D37+E37)/3)*100/M37</f>
        <v>0.37037037037037</v>
      </c>
      <c r="P37" s="43" t="n">
        <f aca="false">D37*100/$M37</f>
        <v>0.555555555555556</v>
      </c>
      <c r="Q37" s="43" t="n">
        <f aca="false">E37*100/$M37</f>
        <v>0.555555555555556</v>
      </c>
      <c r="R37" s="43" t="n">
        <f aca="false">F37*100/$M37</f>
        <v>0</v>
      </c>
      <c r="S37" s="43" t="n">
        <f aca="false">G37*100/$M37</f>
        <v>0</v>
      </c>
      <c r="T37" s="46" t="s">
        <v>222</v>
      </c>
      <c r="U37" s="44"/>
      <c r="V37" s="44"/>
      <c r="W37" s="20"/>
      <c r="Y37" s="1"/>
      <c r="Z37" s="1"/>
      <c r="AA37" s="1"/>
    </row>
    <row r="38" customFormat="false" ht="12.8" hidden="false" customHeight="false" outlineLevel="0" collapsed="false">
      <c r="A38" s="20" t="s">
        <v>223</v>
      </c>
      <c r="B38" s="37" t="n">
        <v>0</v>
      </c>
      <c r="C38" s="37" t="n">
        <v>0</v>
      </c>
      <c r="D38" s="38" t="n">
        <v>0</v>
      </c>
      <c r="E38" s="38" t="n">
        <v>3</v>
      </c>
      <c r="F38" s="38" t="n">
        <v>3</v>
      </c>
      <c r="G38" s="38" t="n">
        <v>3</v>
      </c>
      <c r="H38" s="39" t="n">
        <v>0</v>
      </c>
      <c r="I38" s="39" t="n">
        <v>0</v>
      </c>
      <c r="J38" s="39" t="n">
        <v>0</v>
      </c>
      <c r="K38" s="39" t="n">
        <v>0</v>
      </c>
      <c r="L38" s="39" t="n">
        <v>0</v>
      </c>
      <c r="M38" s="40" t="n">
        <v>830</v>
      </c>
      <c r="N38" s="42" t="n">
        <f aca="false">((D38+E38+F38+G38)/4)*100/M38</f>
        <v>0.271084337349398</v>
      </c>
      <c r="O38" s="42" t="n">
        <f aca="false">((D38+E38)/3)*100/M38</f>
        <v>0.120481927710843</v>
      </c>
      <c r="P38" s="43" t="n">
        <f aca="false">D38*100/$M38</f>
        <v>0</v>
      </c>
      <c r="Q38" s="43" t="n">
        <f aca="false">E38*100/$M38</f>
        <v>0.36144578313253</v>
      </c>
      <c r="R38" s="43" t="n">
        <f aca="false">F38*100/$M38</f>
        <v>0.36144578313253</v>
      </c>
      <c r="S38" s="43" t="n">
        <f aca="false">G38*100/$M38</f>
        <v>0.36144578313253</v>
      </c>
      <c r="T38" s="30" t="s">
        <v>224</v>
      </c>
      <c r="U38" s="44"/>
      <c r="V38" s="44"/>
      <c r="W38" s="20"/>
      <c r="Y38" s="1"/>
      <c r="Z38" s="1"/>
      <c r="AA38" s="1"/>
    </row>
    <row r="39" customFormat="false" ht="12.8" hidden="false" customHeight="false" outlineLevel="0" collapsed="false">
      <c r="A39" s="20" t="s">
        <v>225</v>
      </c>
      <c r="B39" s="37" t="n">
        <v>0</v>
      </c>
      <c r="C39" s="37" t="n">
        <v>0</v>
      </c>
      <c r="D39" s="38" t="n">
        <v>4</v>
      </c>
      <c r="E39" s="38" t="n">
        <v>4</v>
      </c>
      <c r="F39" s="38" t="n">
        <v>0</v>
      </c>
      <c r="G39" s="38" t="n">
        <v>0</v>
      </c>
      <c r="H39" s="39" t="n">
        <v>0</v>
      </c>
      <c r="I39" s="39" t="n">
        <v>0</v>
      </c>
      <c r="J39" s="39" t="n">
        <v>0</v>
      </c>
      <c r="K39" s="39" t="n">
        <v>0</v>
      </c>
      <c r="L39" s="39" t="n">
        <v>0</v>
      </c>
      <c r="M39" s="40" t="n">
        <v>770</v>
      </c>
      <c r="N39" s="42" t="n">
        <f aca="false">((D39+E39+F39+G39)/4)*100/M39</f>
        <v>0.25974025974026</v>
      </c>
      <c r="O39" s="42" t="n">
        <f aca="false">((D39+E39)/3)*100/M39</f>
        <v>0.346320346320346</v>
      </c>
      <c r="P39" s="43" t="n">
        <f aca="false">D39*100/$M39</f>
        <v>0.519480519480519</v>
      </c>
      <c r="Q39" s="43" t="n">
        <f aca="false">E39*100/$M39</f>
        <v>0.519480519480519</v>
      </c>
      <c r="R39" s="43" t="n">
        <f aca="false">F39*100/$M39</f>
        <v>0</v>
      </c>
      <c r="S39" s="43" t="n">
        <f aca="false">G39*100/$M39</f>
        <v>0</v>
      </c>
      <c r="T39" s="30" t="s">
        <v>148</v>
      </c>
      <c r="U39" s="44"/>
      <c r="V39" s="44"/>
      <c r="W39" s="20"/>
      <c r="Y39" s="1"/>
      <c r="Z39" s="1"/>
      <c r="AA39" s="1"/>
    </row>
    <row r="40" customFormat="false" ht="12.8" hidden="false" customHeight="false" outlineLevel="0" collapsed="false">
      <c r="A40" s="20" t="s">
        <v>140</v>
      </c>
      <c r="B40" s="37" t="n">
        <v>0</v>
      </c>
      <c r="C40" s="37" t="n">
        <v>0</v>
      </c>
      <c r="D40" s="38" t="n">
        <v>8</v>
      </c>
      <c r="E40" s="38" t="n">
        <v>8</v>
      </c>
      <c r="F40" s="38" t="n">
        <v>-3</v>
      </c>
      <c r="G40" s="38" t="n">
        <v>-3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40" t="n">
        <v>1000</v>
      </c>
      <c r="N40" s="42" t="n">
        <f aca="false">((D40+E40+F40+G40)/4)*100/M40</f>
        <v>0.25</v>
      </c>
      <c r="O40" s="42" t="n">
        <f aca="false">((D40+E40)/3)*100/M40</f>
        <v>0.533333333333333</v>
      </c>
      <c r="P40" s="41" t="n">
        <f aca="false">D40*100/$M40</f>
        <v>0.8</v>
      </c>
      <c r="Q40" s="41" t="n">
        <f aca="false">E40*100/$M40</f>
        <v>0.8</v>
      </c>
      <c r="R40" s="43" t="n">
        <f aca="false">F40*100/$M40</f>
        <v>-0.3</v>
      </c>
      <c r="S40" s="43" t="n">
        <f aca="false">G40*100/$M40</f>
        <v>-0.3</v>
      </c>
      <c r="T40" s="46" t="s">
        <v>226</v>
      </c>
      <c r="U40" s="44"/>
      <c r="V40" s="44"/>
      <c r="W40" s="20"/>
      <c r="Y40" s="1"/>
      <c r="Z40" s="1"/>
      <c r="AA40" s="1"/>
    </row>
    <row r="41" customFormat="false" ht="12.8" hidden="false" customHeight="false" outlineLevel="0" collapsed="false">
      <c r="A41" s="20" t="s">
        <v>227</v>
      </c>
      <c r="B41" s="37" t="n">
        <v>0</v>
      </c>
      <c r="C41" s="37" t="n">
        <v>0</v>
      </c>
      <c r="D41" s="38" t="n">
        <v>0</v>
      </c>
      <c r="E41" s="38" t="n">
        <v>3</v>
      </c>
      <c r="F41" s="38" t="n">
        <v>3</v>
      </c>
      <c r="G41" s="38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40" t="n">
        <v>600</v>
      </c>
      <c r="N41" s="42" t="n">
        <f aca="false">((D41+E41+F41+G41)/4)*100/M41</f>
        <v>0.25</v>
      </c>
      <c r="O41" s="42" t="n">
        <f aca="false">((D41+E41)/3)*100/M41</f>
        <v>0.166666666666667</v>
      </c>
      <c r="P41" s="43" t="n">
        <f aca="false">D41*100/$M41</f>
        <v>0</v>
      </c>
      <c r="Q41" s="43" t="n">
        <f aca="false">E41*100/$M41</f>
        <v>0.5</v>
      </c>
      <c r="R41" s="43" t="n">
        <f aca="false">F41*100/$M41</f>
        <v>0.5</v>
      </c>
      <c r="S41" s="43" t="n">
        <f aca="false">G41*100/$M41</f>
        <v>0</v>
      </c>
      <c r="T41" s="30" t="s">
        <v>228</v>
      </c>
      <c r="U41" s="44"/>
      <c r="V41" s="44"/>
      <c r="W41" s="20"/>
      <c r="Y41" s="1"/>
      <c r="Z41" s="1"/>
      <c r="AA41" s="1"/>
    </row>
    <row r="42" customFormat="false" ht="12.8" hidden="false" customHeight="false" outlineLevel="0" collapsed="false">
      <c r="A42" s="20" t="s">
        <v>229</v>
      </c>
      <c r="B42" s="37" t="n">
        <v>10</v>
      </c>
      <c r="C42" s="37" t="n">
        <v>0</v>
      </c>
      <c r="D42" s="38" t="n">
        <v>0</v>
      </c>
      <c r="E42" s="38" t="n">
        <v>0</v>
      </c>
      <c r="F42" s="38" t="n">
        <v>0</v>
      </c>
      <c r="G42" s="38" t="n">
        <v>8</v>
      </c>
      <c r="H42" s="39" t="n">
        <v>0</v>
      </c>
      <c r="I42" s="39" t="n">
        <v>0</v>
      </c>
      <c r="J42" s="39" t="n">
        <v>0</v>
      </c>
      <c r="K42" s="39" t="n">
        <v>0</v>
      </c>
      <c r="L42" s="39" t="n">
        <v>0</v>
      </c>
      <c r="M42" s="40" t="n">
        <v>800</v>
      </c>
      <c r="N42" s="42" t="n">
        <f aca="false">((D42+E42+F42+G42)/4)*100/M42</f>
        <v>0.25</v>
      </c>
      <c r="O42" s="42" t="n">
        <f aca="false">((D42+E42)/3)*100/M42</f>
        <v>0</v>
      </c>
      <c r="P42" s="43" t="n">
        <f aca="false">D42*100/$M42</f>
        <v>0</v>
      </c>
      <c r="Q42" s="43" t="n">
        <f aca="false">E42*100/$M42</f>
        <v>0</v>
      </c>
      <c r="R42" s="43" t="n">
        <f aca="false">F42*100/$M42</f>
        <v>0</v>
      </c>
      <c r="S42" s="41" t="n">
        <f aca="false">G42*100/$M42</f>
        <v>1</v>
      </c>
      <c r="T42" s="30" t="s">
        <v>230</v>
      </c>
      <c r="U42" s="44"/>
      <c r="V42" s="44"/>
      <c r="W42" s="20"/>
      <c r="Y42" s="1"/>
      <c r="Z42" s="1"/>
      <c r="AA42" s="1"/>
    </row>
    <row r="43" customFormat="false" ht="12.8" hidden="false" customHeight="false" outlineLevel="0" collapsed="false">
      <c r="A43" s="20" t="s">
        <v>231</v>
      </c>
      <c r="B43" s="37" t="n">
        <v>0</v>
      </c>
      <c r="C43" s="37" t="n">
        <v>0</v>
      </c>
      <c r="D43" s="38" t="n">
        <v>0</v>
      </c>
      <c r="E43" s="38" t="n">
        <v>0</v>
      </c>
      <c r="F43" s="38" t="n">
        <v>6</v>
      </c>
      <c r="G43" s="38" t="n">
        <v>6</v>
      </c>
      <c r="H43" s="39" t="n">
        <v>0</v>
      </c>
      <c r="I43" s="39" t="n">
        <v>6</v>
      </c>
      <c r="J43" s="39" t="n">
        <v>0</v>
      </c>
      <c r="K43" s="39" t="n">
        <v>0</v>
      </c>
      <c r="L43" s="39" t="n">
        <v>0</v>
      </c>
      <c r="M43" s="40" t="n">
        <v>1200</v>
      </c>
      <c r="N43" s="42" t="n">
        <f aca="false">((D43+E43+F43+G43)/4)*100/M43</f>
        <v>0.25</v>
      </c>
      <c r="O43" s="42" t="n">
        <f aca="false">((D43+E43)/3)*100/M43</f>
        <v>0</v>
      </c>
      <c r="P43" s="43" t="n">
        <f aca="false">D43*100/$M43</f>
        <v>0</v>
      </c>
      <c r="Q43" s="43" t="n">
        <f aca="false">E43*100/$M43</f>
        <v>0</v>
      </c>
      <c r="R43" s="43" t="n">
        <f aca="false">F43*100/$M43</f>
        <v>0.5</v>
      </c>
      <c r="S43" s="43" t="n">
        <f aca="false">G43*100/$M43</f>
        <v>0.5</v>
      </c>
      <c r="T43" s="30" t="s">
        <v>232</v>
      </c>
      <c r="U43" s="44"/>
      <c r="V43" s="44"/>
      <c r="W43" s="20"/>
      <c r="Y43" s="1"/>
      <c r="Z43" s="1"/>
      <c r="AA43" s="1"/>
    </row>
    <row r="44" customFormat="false" ht="12.8" hidden="false" customHeight="false" outlineLevel="0" collapsed="false">
      <c r="A44" s="20" t="s">
        <v>233</v>
      </c>
      <c r="B44" s="37" t="n">
        <v>0</v>
      </c>
      <c r="C44" s="37" t="n">
        <v>0</v>
      </c>
      <c r="D44" s="38" t="n">
        <v>0</v>
      </c>
      <c r="E44" s="38" t="n">
        <v>0</v>
      </c>
      <c r="F44" s="38" t="n">
        <v>26</v>
      </c>
      <c r="G44" s="38" t="n">
        <v>0</v>
      </c>
      <c r="H44" s="39" t="n">
        <v>0</v>
      </c>
      <c r="I44" s="39" t="n">
        <v>0</v>
      </c>
      <c r="J44" s="39" t="n">
        <v>26</v>
      </c>
      <c r="K44" s="39" t="n">
        <v>0</v>
      </c>
      <c r="L44" s="39" t="n">
        <v>0</v>
      </c>
      <c r="M44" s="40" t="n">
        <v>2700</v>
      </c>
      <c r="N44" s="42" t="n">
        <f aca="false">((D44+E44+F44+G44)/4)*100/M44</f>
        <v>0.240740740740741</v>
      </c>
      <c r="O44" s="42" t="n">
        <f aca="false">((D44+E44)/3)*100/M44</f>
        <v>0</v>
      </c>
      <c r="P44" s="43" t="n">
        <f aca="false">D44*100/$M44</f>
        <v>0</v>
      </c>
      <c r="Q44" s="43" t="n">
        <f aca="false">E44*100/$M44</f>
        <v>0</v>
      </c>
      <c r="R44" s="41" t="n">
        <f aca="false">F44*100/$M44</f>
        <v>0.962962962962963</v>
      </c>
      <c r="S44" s="43" t="n">
        <f aca="false">G44*100/$M44</f>
        <v>0</v>
      </c>
      <c r="T44" s="46" t="s">
        <v>234</v>
      </c>
      <c r="U44" s="44"/>
      <c r="V44" s="44"/>
      <c r="W44" s="20"/>
      <c r="Y44" s="1"/>
      <c r="Z44" s="1"/>
      <c r="AA44" s="1"/>
    </row>
    <row r="45" customFormat="false" ht="12.8" hidden="false" customHeight="false" outlineLevel="0" collapsed="false">
      <c r="A45" s="20" t="s">
        <v>235</v>
      </c>
      <c r="B45" s="37" t="n">
        <v>0</v>
      </c>
      <c r="C45" s="37" t="n">
        <v>0</v>
      </c>
      <c r="D45" s="38" t="n">
        <v>4</v>
      </c>
      <c r="E45" s="38" t="n">
        <v>0</v>
      </c>
      <c r="F45" s="38" t="n">
        <v>4</v>
      </c>
      <c r="G45" s="38" t="n">
        <v>0</v>
      </c>
      <c r="H45" s="39" t="n">
        <v>0</v>
      </c>
      <c r="I45" s="39" t="n">
        <v>3</v>
      </c>
      <c r="J45" s="39" t="n">
        <v>0</v>
      </c>
      <c r="K45" s="39" t="n">
        <v>0</v>
      </c>
      <c r="L45" s="39" t="n">
        <v>0</v>
      </c>
      <c r="M45" s="40" t="n">
        <v>840</v>
      </c>
      <c r="N45" s="42" t="n">
        <f aca="false">((D45+E45+F45+G45)/4)*100/M45</f>
        <v>0.238095238095238</v>
      </c>
      <c r="O45" s="42" t="n">
        <f aca="false">((D45+E45)/3)*100/M45</f>
        <v>0.158730158730159</v>
      </c>
      <c r="P45" s="43" t="n">
        <f aca="false">D45*100/$M45</f>
        <v>0.476190476190476</v>
      </c>
      <c r="Q45" s="43" t="n">
        <f aca="false">E45*100/$M45</f>
        <v>0</v>
      </c>
      <c r="R45" s="43" t="n">
        <f aca="false">F45*100/$M45</f>
        <v>0.476190476190476</v>
      </c>
      <c r="S45" s="43" t="n">
        <f aca="false">G45*100/$M45</f>
        <v>0</v>
      </c>
      <c r="T45" s="30" t="s">
        <v>236</v>
      </c>
      <c r="U45" s="44"/>
      <c r="V45" s="44"/>
      <c r="W45" s="20"/>
      <c r="Y45" s="1"/>
      <c r="Z45" s="1"/>
      <c r="AA45" s="1"/>
    </row>
    <row r="46" customFormat="false" ht="12.8" hidden="false" customHeight="false" outlineLevel="0" collapsed="false">
      <c r="A46" s="20" t="s">
        <v>237</v>
      </c>
      <c r="B46" s="37" t="n">
        <v>0</v>
      </c>
      <c r="C46" s="37" t="n">
        <v>0</v>
      </c>
      <c r="D46" s="38" t="n">
        <v>5</v>
      </c>
      <c r="E46" s="38" t="n">
        <v>0</v>
      </c>
      <c r="F46" s="38" t="n">
        <v>4</v>
      </c>
      <c r="G46" s="38" t="n">
        <v>3</v>
      </c>
      <c r="H46" s="39" t="n">
        <v>0</v>
      </c>
      <c r="I46" s="39" t="n">
        <v>0</v>
      </c>
      <c r="J46" s="39" t="n">
        <v>0</v>
      </c>
      <c r="K46" s="39" t="n">
        <v>0</v>
      </c>
      <c r="L46" s="39" t="n">
        <v>0</v>
      </c>
      <c r="M46" s="40" t="n">
        <v>1290</v>
      </c>
      <c r="N46" s="42" t="n">
        <f aca="false">((D46+E46+F46+G46)/4)*100/M46</f>
        <v>0.232558139534884</v>
      </c>
      <c r="O46" s="42" t="n">
        <f aca="false">((D46+E46)/3)*100/M46</f>
        <v>0.129198966408269</v>
      </c>
      <c r="P46" s="43" t="n">
        <f aca="false">D46*100/$M46</f>
        <v>0.387596899224806</v>
      </c>
      <c r="Q46" s="43" t="n">
        <f aca="false">E46*100/$M46</f>
        <v>0</v>
      </c>
      <c r="R46" s="43" t="n">
        <f aca="false">F46*100/$M46</f>
        <v>0.310077519379845</v>
      </c>
      <c r="S46" s="43" t="n">
        <f aca="false">G46*100/$M46</f>
        <v>0.232558139534884</v>
      </c>
      <c r="T46" s="30" t="s">
        <v>238</v>
      </c>
      <c r="U46" s="44"/>
      <c r="V46" s="44"/>
      <c r="W46" s="20"/>
      <c r="Y46" s="1"/>
      <c r="Z46" s="1"/>
      <c r="AA46" s="1"/>
    </row>
    <row r="47" customFormat="false" ht="12.8" hidden="false" customHeight="false" outlineLevel="0" collapsed="false">
      <c r="A47" s="20" t="s">
        <v>239</v>
      </c>
      <c r="B47" s="37" t="n">
        <v>0</v>
      </c>
      <c r="C47" s="37" t="n">
        <v>0</v>
      </c>
      <c r="D47" s="38" t="n">
        <v>0</v>
      </c>
      <c r="E47" s="38" t="n">
        <v>0</v>
      </c>
      <c r="F47" s="38" t="n">
        <v>0</v>
      </c>
      <c r="G47" s="38" t="n">
        <v>4</v>
      </c>
      <c r="H47" s="39" t="n">
        <v>0</v>
      </c>
      <c r="I47" s="39" t="n">
        <v>0</v>
      </c>
      <c r="J47" s="39" t="n">
        <v>0</v>
      </c>
      <c r="K47" s="39" t="n">
        <v>0</v>
      </c>
      <c r="L47" s="39" t="n">
        <v>0</v>
      </c>
      <c r="M47" s="40" t="n">
        <v>430</v>
      </c>
      <c r="N47" s="42" t="n">
        <f aca="false">((D47+E47+F47+G47)/4)*100/M47</f>
        <v>0.232558139534884</v>
      </c>
      <c r="O47" s="42" t="n">
        <f aca="false">((D47+E47)/3)*100/M47</f>
        <v>0</v>
      </c>
      <c r="P47" s="43" t="n">
        <f aca="false">D47*100/$M47</f>
        <v>0</v>
      </c>
      <c r="Q47" s="43" t="n">
        <f aca="false">E47*100/$M47</f>
        <v>0</v>
      </c>
      <c r="R47" s="43" t="n">
        <f aca="false">F47*100/$M47</f>
        <v>0</v>
      </c>
      <c r="S47" s="41" t="n">
        <f aca="false">G47*100/$M47</f>
        <v>0.930232558139535</v>
      </c>
      <c r="T47" s="30" t="s">
        <v>240</v>
      </c>
      <c r="U47" s="44"/>
      <c r="V47" s="44"/>
      <c r="W47" s="20"/>
      <c r="Y47" s="1"/>
      <c r="Z47" s="1"/>
      <c r="AA47" s="1"/>
    </row>
    <row r="48" customFormat="false" ht="12.8" hidden="false" customHeight="false" outlineLevel="0" collapsed="false">
      <c r="A48" s="45" t="s">
        <v>241</v>
      </c>
      <c r="B48" s="37" t="n">
        <v>0</v>
      </c>
      <c r="C48" s="37" t="n">
        <v>0</v>
      </c>
      <c r="D48" s="38" t="n">
        <v>0</v>
      </c>
      <c r="E48" s="38" t="n">
        <v>0</v>
      </c>
      <c r="F48" s="38" t="n">
        <v>20</v>
      </c>
      <c r="G48" s="38" t="n">
        <v>0</v>
      </c>
      <c r="H48" s="39" t="n">
        <v>10</v>
      </c>
      <c r="I48" s="39" t="n">
        <v>0</v>
      </c>
      <c r="J48" s="39" t="n">
        <v>10</v>
      </c>
      <c r="K48" s="39" t="n">
        <v>0</v>
      </c>
      <c r="L48" s="39" t="n">
        <v>0</v>
      </c>
      <c r="M48" s="40" t="n">
        <v>2150</v>
      </c>
      <c r="N48" s="42" t="n">
        <f aca="false">((D48+E48+F48+G48)/4)*100/M48</f>
        <v>0.232558139534884</v>
      </c>
      <c r="O48" s="42" t="n">
        <f aca="false">((D48+E48)/3)*100/M48</f>
        <v>0</v>
      </c>
      <c r="P48" s="43" t="n">
        <f aca="false">D48*100/$M48</f>
        <v>0</v>
      </c>
      <c r="Q48" s="43" t="n">
        <f aca="false">E48*100/$M48</f>
        <v>0</v>
      </c>
      <c r="R48" s="41" t="n">
        <f aca="false">F48*100/$M48</f>
        <v>0.930232558139535</v>
      </c>
      <c r="S48" s="43" t="n">
        <f aca="false">G48*100/$M48</f>
        <v>0</v>
      </c>
      <c r="T48" s="46" t="s">
        <v>242</v>
      </c>
      <c r="U48" s="44"/>
      <c r="V48" s="44"/>
      <c r="W48" s="45" t="s">
        <v>243</v>
      </c>
      <c r="Y48" s="1"/>
      <c r="Z48" s="1"/>
      <c r="AA48" s="1"/>
    </row>
    <row r="49" customFormat="false" ht="12.8" hidden="false" customHeight="false" outlineLevel="0" collapsed="false">
      <c r="A49" s="20" t="s">
        <v>146</v>
      </c>
      <c r="B49" s="37" t="n">
        <v>0</v>
      </c>
      <c r="C49" s="37" t="n">
        <v>0</v>
      </c>
      <c r="D49" s="38" t="n">
        <v>25</v>
      </c>
      <c r="E49" s="38" t="n">
        <v>0</v>
      </c>
      <c r="F49" s="38" t="n">
        <v>0</v>
      </c>
      <c r="G49" s="38" t="n">
        <v>0</v>
      </c>
      <c r="H49" s="39" t="n">
        <v>0</v>
      </c>
      <c r="I49" s="39" t="n">
        <v>0</v>
      </c>
      <c r="J49" s="39" t="n">
        <v>0</v>
      </c>
      <c r="K49" s="39" t="n">
        <v>0</v>
      </c>
      <c r="L49" s="39" t="n">
        <v>0</v>
      </c>
      <c r="M49" s="40" t="n">
        <v>2700</v>
      </c>
      <c r="N49" s="42" t="n">
        <f aca="false">((D49+E49+F49+G49)/4)*100/M49</f>
        <v>0.231481481481481</v>
      </c>
      <c r="O49" s="42" t="n">
        <f aca="false">((D49+E49)/3)*100/M49</f>
        <v>0.308641975308642</v>
      </c>
      <c r="P49" s="41" t="n">
        <f aca="false">D49*100/$M49</f>
        <v>0.925925925925926</v>
      </c>
      <c r="Q49" s="43" t="n">
        <f aca="false">E49*100/$M49</f>
        <v>0</v>
      </c>
      <c r="R49" s="43" t="n">
        <f aca="false">F49*100/$M49</f>
        <v>0</v>
      </c>
      <c r="S49" s="43" t="n">
        <f aca="false">G49*100/$M49</f>
        <v>0</v>
      </c>
      <c r="T49" s="46" t="s">
        <v>244</v>
      </c>
      <c r="U49" s="44"/>
      <c r="V49" s="44"/>
      <c r="W49" s="45" t="s">
        <v>245</v>
      </c>
      <c r="Y49" s="1"/>
      <c r="Z49" s="1"/>
      <c r="AA49" s="1"/>
    </row>
    <row r="50" customFormat="false" ht="12.8" hidden="false" customHeight="false" outlineLevel="0" collapsed="false">
      <c r="A50" s="20" t="s">
        <v>143</v>
      </c>
      <c r="B50" s="37" t="n">
        <v>0</v>
      </c>
      <c r="C50" s="37" t="n">
        <v>0</v>
      </c>
      <c r="D50" s="38" t="n">
        <v>0</v>
      </c>
      <c r="E50" s="38" t="n">
        <v>30</v>
      </c>
      <c r="F50" s="38" t="n">
        <v>0</v>
      </c>
      <c r="G50" s="38" t="n">
        <v>0</v>
      </c>
      <c r="H50" s="39" t="n">
        <v>0</v>
      </c>
      <c r="I50" s="39" t="n">
        <v>0</v>
      </c>
      <c r="J50" s="39" t="n">
        <v>0</v>
      </c>
      <c r="K50" s="39" t="n">
        <v>0</v>
      </c>
      <c r="L50" s="39" t="n">
        <v>0</v>
      </c>
      <c r="M50" s="40" t="n">
        <v>3400</v>
      </c>
      <c r="N50" s="42" t="n">
        <f aca="false">((D50+E50+F50+G50)/4)*100/M50</f>
        <v>0.220588235294118</v>
      </c>
      <c r="O50" s="42" t="n">
        <f aca="false">((D50+E50)/3)*100/M50</f>
        <v>0.294117647058824</v>
      </c>
      <c r="P50" s="43" t="n">
        <f aca="false">D50*100/$M50</f>
        <v>0</v>
      </c>
      <c r="Q50" s="41" t="n">
        <f aca="false">E50*100/$M50</f>
        <v>0.882352941176471</v>
      </c>
      <c r="R50" s="43" t="n">
        <f aca="false">F50*100/$M50</f>
        <v>0</v>
      </c>
      <c r="S50" s="43" t="n">
        <f aca="false">G50*100/$M50</f>
        <v>0</v>
      </c>
      <c r="T50" s="30" t="s">
        <v>148</v>
      </c>
      <c r="U50" s="44"/>
      <c r="V50" s="44"/>
      <c r="W50" s="45" t="s">
        <v>246</v>
      </c>
      <c r="Y50" s="1"/>
      <c r="Z50" s="1"/>
      <c r="AA50" s="1"/>
    </row>
    <row r="51" customFormat="false" ht="12.8" hidden="false" customHeight="false" outlineLevel="0" collapsed="false">
      <c r="A51" s="20" t="s">
        <v>247</v>
      </c>
      <c r="B51" s="37" t="n">
        <v>0</v>
      </c>
      <c r="C51" s="37" t="n">
        <v>0</v>
      </c>
      <c r="D51" s="38" t="n">
        <v>30</v>
      </c>
      <c r="E51" s="38" t="n">
        <v>0</v>
      </c>
      <c r="F51" s="38" t="n">
        <v>0</v>
      </c>
      <c r="G51" s="38" t="n">
        <v>0</v>
      </c>
      <c r="H51" s="39" t="n">
        <v>0</v>
      </c>
      <c r="I51" s="39" t="n">
        <v>0</v>
      </c>
      <c r="J51" s="39" t="n">
        <v>0</v>
      </c>
      <c r="K51" s="39" t="n">
        <v>0</v>
      </c>
      <c r="L51" s="39" t="n">
        <v>0</v>
      </c>
      <c r="M51" s="40" t="n">
        <v>3400</v>
      </c>
      <c r="N51" s="42" t="n">
        <f aca="false">((D51+E51+F51+G51)/4)*100/M51</f>
        <v>0.220588235294118</v>
      </c>
      <c r="O51" s="42" t="n">
        <f aca="false">((D51+E51)/3)*100/M51</f>
        <v>0.294117647058824</v>
      </c>
      <c r="P51" s="41" t="n">
        <f aca="false">D51*100/$M51</f>
        <v>0.882352941176471</v>
      </c>
      <c r="Q51" s="43" t="n">
        <f aca="false">E51*100/$M51</f>
        <v>0</v>
      </c>
      <c r="R51" s="43" t="n">
        <f aca="false">F51*100/$M51</f>
        <v>0</v>
      </c>
      <c r="S51" s="43" t="n">
        <f aca="false">G51*100/$M51</f>
        <v>0</v>
      </c>
      <c r="T51" s="30" t="s">
        <v>148</v>
      </c>
      <c r="U51" s="44"/>
      <c r="V51" s="44"/>
      <c r="W51" s="45" t="s">
        <v>246</v>
      </c>
      <c r="Y51" s="1"/>
      <c r="Z51" s="1"/>
      <c r="AA51" s="1"/>
    </row>
    <row r="52" customFormat="false" ht="12.8" hidden="false" customHeight="false" outlineLevel="0" collapsed="false">
      <c r="A52" s="20" t="s">
        <v>248</v>
      </c>
      <c r="B52" s="37" t="n">
        <v>0</v>
      </c>
      <c r="C52" s="37" t="n">
        <v>0</v>
      </c>
      <c r="D52" s="38" t="n">
        <v>0</v>
      </c>
      <c r="E52" s="38" t="n">
        <v>0</v>
      </c>
      <c r="F52" s="38" t="n">
        <v>0</v>
      </c>
      <c r="G52" s="38" t="n">
        <v>30</v>
      </c>
      <c r="H52" s="39" t="n">
        <v>0</v>
      </c>
      <c r="I52" s="39" t="n">
        <v>0</v>
      </c>
      <c r="J52" s="39" t="n">
        <v>0</v>
      </c>
      <c r="K52" s="39" t="n">
        <v>0</v>
      </c>
      <c r="L52" s="39" t="n">
        <v>0</v>
      </c>
      <c r="M52" s="40" t="n">
        <v>3400</v>
      </c>
      <c r="N52" s="42" t="n">
        <f aca="false">((D52+E52+F52+G52)/4)*100/M52</f>
        <v>0.220588235294118</v>
      </c>
      <c r="O52" s="42" t="n">
        <f aca="false">((D52+E52)/3)*100/M52</f>
        <v>0</v>
      </c>
      <c r="P52" s="43" t="n">
        <f aca="false">D52*100/$M52</f>
        <v>0</v>
      </c>
      <c r="Q52" s="43" t="n">
        <f aca="false">E52*100/$M52</f>
        <v>0</v>
      </c>
      <c r="R52" s="43" t="n">
        <f aca="false">F52*100/$M52</f>
        <v>0</v>
      </c>
      <c r="S52" s="41" t="n">
        <f aca="false">G52*100/$M52</f>
        <v>0.882352941176471</v>
      </c>
      <c r="T52" s="30" t="s">
        <v>148</v>
      </c>
      <c r="U52" s="44"/>
      <c r="V52" s="44"/>
      <c r="W52" s="45" t="s">
        <v>246</v>
      </c>
      <c r="Y52" s="1"/>
      <c r="Z52" s="1"/>
      <c r="AA52" s="1"/>
    </row>
    <row r="53" customFormat="false" ht="12.8" hidden="false" customHeight="false" outlineLevel="0" collapsed="false">
      <c r="A53" s="20" t="s">
        <v>249</v>
      </c>
      <c r="B53" s="37" t="n">
        <v>0</v>
      </c>
      <c r="C53" s="37" t="n">
        <v>0</v>
      </c>
      <c r="D53" s="38" t="n">
        <v>0</v>
      </c>
      <c r="E53" s="38" t="n">
        <v>0</v>
      </c>
      <c r="F53" s="38" t="n">
        <v>30</v>
      </c>
      <c r="G53" s="38" t="n">
        <v>0</v>
      </c>
      <c r="H53" s="39" t="n">
        <v>0</v>
      </c>
      <c r="I53" s="39" t="n">
        <v>0</v>
      </c>
      <c r="J53" s="39" t="n">
        <v>0</v>
      </c>
      <c r="K53" s="39" t="n">
        <v>0</v>
      </c>
      <c r="L53" s="39" t="n">
        <v>0</v>
      </c>
      <c r="M53" s="40" t="n">
        <v>3400</v>
      </c>
      <c r="N53" s="42" t="n">
        <f aca="false">((D53+E53+F53+G53)/4)*100/M53</f>
        <v>0.220588235294118</v>
      </c>
      <c r="O53" s="42" t="n">
        <f aca="false">((D53+E53)/3)*100/M53</f>
        <v>0</v>
      </c>
      <c r="P53" s="43" t="n">
        <f aca="false">D53*100/$M53</f>
        <v>0</v>
      </c>
      <c r="Q53" s="43" t="n">
        <f aca="false">E53*100/$M53</f>
        <v>0</v>
      </c>
      <c r="R53" s="41" t="n">
        <f aca="false">F53*100/$M53</f>
        <v>0.882352941176471</v>
      </c>
      <c r="S53" s="43" t="n">
        <f aca="false">G53*100/$M53</f>
        <v>0</v>
      </c>
      <c r="T53" s="30" t="s">
        <v>148</v>
      </c>
      <c r="U53" s="44"/>
      <c r="V53" s="44"/>
      <c r="W53" s="45" t="s">
        <v>246</v>
      </c>
      <c r="Y53" s="1"/>
      <c r="Z53" s="1"/>
      <c r="AA53" s="1"/>
    </row>
    <row r="54" customFormat="false" ht="12.8" hidden="false" customHeight="false" outlineLevel="0" collapsed="false">
      <c r="A54" s="20" t="s">
        <v>250</v>
      </c>
      <c r="B54" s="37" t="n">
        <v>0</v>
      </c>
      <c r="C54" s="37" t="n">
        <v>0</v>
      </c>
      <c r="D54" s="38" t="n">
        <v>0</v>
      </c>
      <c r="E54" s="38" t="n">
        <v>7</v>
      </c>
      <c r="F54" s="38" t="n">
        <v>0</v>
      </c>
      <c r="G54" s="38" t="n">
        <v>0</v>
      </c>
      <c r="H54" s="39" t="n">
        <v>0</v>
      </c>
      <c r="I54" s="39" t="n">
        <v>0</v>
      </c>
      <c r="J54" s="39" t="n">
        <v>0</v>
      </c>
      <c r="K54" s="39" t="n">
        <v>0</v>
      </c>
      <c r="L54" s="39" t="n">
        <v>0</v>
      </c>
      <c r="M54" s="40" t="n">
        <v>800</v>
      </c>
      <c r="N54" s="42" t="n">
        <f aca="false">((D54+E54+F54+G54)/4)*100/M54</f>
        <v>0.21875</v>
      </c>
      <c r="O54" s="42" t="n">
        <f aca="false">((D54+E54)/3)*100/M54</f>
        <v>0.291666666666667</v>
      </c>
      <c r="P54" s="43" t="n">
        <f aca="false">D54*100/$M54</f>
        <v>0</v>
      </c>
      <c r="Q54" s="41" t="n">
        <f aca="false">E54*100/$M54</f>
        <v>0.875</v>
      </c>
      <c r="R54" s="43" t="n">
        <f aca="false">F54*100/$M54</f>
        <v>0</v>
      </c>
      <c r="S54" s="43" t="n">
        <f aca="false">G54*100/$M54</f>
        <v>0</v>
      </c>
      <c r="T54" s="30" t="s">
        <v>148</v>
      </c>
      <c r="U54" s="24"/>
      <c r="V54" s="47"/>
      <c r="W54" s="45" t="s">
        <v>246</v>
      </c>
      <c r="Y54" s="1"/>
      <c r="Z54" s="1"/>
      <c r="AA54" s="1"/>
    </row>
    <row r="55" customFormat="false" ht="12.8" hidden="false" customHeight="false" outlineLevel="0" collapsed="false">
      <c r="A55" s="20" t="s">
        <v>251</v>
      </c>
      <c r="B55" s="37" t="n">
        <v>0</v>
      </c>
      <c r="C55" s="37" t="n">
        <v>0</v>
      </c>
      <c r="D55" s="38" t="n">
        <v>7</v>
      </c>
      <c r="E55" s="38" t="n">
        <v>0</v>
      </c>
      <c r="F55" s="38" t="n">
        <v>0</v>
      </c>
      <c r="G55" s="38" t="n">
        <v>0</v>
      </c>
      <c r="H55" s="39" t="n">
        <v>0</v>
      </c>
      <c r="I55" s="39" t="n">
        <v>0</v>
      </c>
      <c r="J55" s="39" t="n">
        <v>0</v>
      </c>
      <c r="K55" s="39" t="n">
        <v>0</v>
      </c>
      <c r="L55" s="39" t="n">
        <v>0</v>
      </c>
      <c r="M55" s="40" t="n">
        <v>800</v>
      </c>
      <c r="N55" s="42" t="n">
        <f aca="false">((D55+E55+F55+G55)/4)*100/M55</f>
        <v>0.21875</v>
      </c>
      <c r="O55" s="42" t="n">
        <f aca="false">((D55+E55)/3)*100/M55</f>
        <v>0.291666666666667</v>
      </c>
      <c r="P55" s="41" t="n">
        <f aca="false">D55*100/$M55</f>
        <v>0.875</v>
      </c>
      <c r="Q55" s="43" t="n">
        <f aca="false">E55*100/$M55</f>
        <v>0</v>
      </c>
      <c r="R55" s="43" t="n">
        <f aca="false">F55*100/$M55</f>
        <v>0</v>
      </c>
      <c r="S55" s="43" t="n">
        <f aca="false">G55*100/$M55</f>
        <v>0</v>
      </c>
      <c r="T55" s="30" t="s">
        <v>148</v>
      </c>
      <c r="U55" s="47"/>
      <c r="V55" s="47"/>
      <c r="W55" s="45" t="s">
        <v>246</v>
      </c>
      <c r="Y55" s="1"/>
      <c r="Z55" s="1"/>
      <c r="AA55" s="1"/>
    </row>
    <row r="56" customFormat="false" ht="12.8" hidden="false" customHeight="false" outlineLevel="0" collapsed="false">
      <c r="A56" s="20" t="s">
        <v>252</v>
      </c>
      <c r="B56" s="37" t="n">
        <v>0</v>
      </c>
      <c r="C56" s="37" t="n">
        <v>0</v>
      </c>
      <c r="D56" s="38" t="n">
        <v>0</v>
      </c>
      <c r="E56" s="38" t="n">
        <v>0</v>
      </c>
      <c r="F56" s="38" t="n">
        <v>0</v>
      </c>
      <c r="G56" s="38" t="n">
        <v>7</v>
      </c>
      <c r="H56" s="39" t="n">
        <v>0</v>
      </c>
      <c r="I56" s="39" t="n">
        <v>0</v>
      </c>
      <c r="J56" s="39" t="n">
        <v>0</v>
      </c>
      <c r="K56" s="39" t="n">
        <v>0</v>
      </c>
      <c r="L56" s="39" t="n">
        <v>0</v>
      </c>
      <c r="M56" s="40" t="n">
        <v>800</v>
      </c>
      <c r="N56" s="42" t="n">
        <f aca="false">((D56+E56+F56+G56)/4)*100/M56</f>
        <v>0.21875</v>
      </c>
      <c r="O56" s="42" t="n">
        <f aca="false">((D56+E56)/3)*100/M56</f>
        <v>0</v>
      </c>
      <c r="P56" s="43" t="n">
        <f aca="false">D56*100/$M56</f>
        <v>0</v>
      </c>
      <c r="Q56" s="43" t="n">
        <f aca="false">E56*100/$M56</f>
        <v>0</v>
      </c>
      <c r="R56" s="43" t="n">
        <f aca="false">F56*100/$M56</f>
        <v>0</v>
      </c>
      <c r="S56" s="41" t="n">
        <f aca="false">G56*100/$M56</f>
        <v>0.875</v>
      </c>
      <c r="T56" s="30" t="s">
        <v>148</v>
      </c>
      <c r="U56" s="44"/>
      <c r="V56" s="44"/>
      <c r="W56" s="45" t="s">
        <v>246</v>
      </c>
      <c r="Y56" s="1"/>
      <c r="Z56" s="1"/>
      <c r="AA56" s="1"/>
    </row>
    <row r="57" customFormat="false" ht="12.8" hidden="false" customHeight="false" outlineLevel="0" collapsed="false">
      <c r="A57" s="48" t="s">
        <v>253</v>
      </c>
      <c r="B57" s="37" t="n">
        <v>0</v>
      </c>
      <c r="C57" s="37" t="n">
        <v>0</v>
      </c>
      <c r="D57" s="38" t="n">
        <v>0</v>
      </c>
      <c r="E57" s="38" t="n">
        <v>0</v>
      </c>
      <c r="F57" s="38" t="n">
        <v>7</v>
      </c>
      <c r="G57" s="38" t="n">
        <v>0</v>
      </c>
      <c r="H57" s="39" t="n">
        <v>0</v>
      </c>
      <c r="I57" s="39" t="n">
        <v>0</v>
      </c>
      <c r="J57" s="39" t="n">
        <v>0</v>
      </c>
      <c r="K57" s="39" t="n">
        <v>0</v>
      </c>
      <c r="L57" s="39" t="n">
        <v>0</v>
      </c>
      <c r="M57" s="40" t="n">
        <v>800</v>
      </c>
      <c r="N57" s="42" t="n">
        <f aca="false">((D57+E57+F57+G57)/4)*100/M57</f>
        <v>0.21875</v>
      </c>
      <c r="O57" s="42" t="n">
        <f aca="false">((D57+E57)/3)*100/M57</f>
        <v>0</v>
      </c>
      <c r="P57" s="43" t="n">
        <f aca="false">D57*100/$M57</f>
        <v>0</v>
      </c>
      <c r="Q57" s="43" t="n">
        <f aca="false">E57*100/$M57</f>
        <v>0</v>
      </c>
      <c r="R57" s="41" t="n">
        <f aca="false">F57*100/$M57</f>
        <v>0.875</v>
      </c>
      <c r="S57" s="43" t="n">
        <f aca="false">G57*100/$M57</f>
        <v>0</v>
      </c>
      <c r="T57" s="30" t="s">
        <v>148</v>
      </c>
      <c r="U57" s="47"/>
      <c r="V57" s="47"/>
      <c r="W57" s="45" t="s">
        <v>246</v>
      </c>
      <c r="Y57" s="1"/>
      <c r="Z57" s="1"/>
      <c r="AA57" s="1"/>
    </row>
    <row r="58" customFormat="false" ht="12.8" hidden="false" customHeight="false" outlineLevel="0" collapsed="false">
      <c r="A58" s="20" t="s">
        <v>254</v>
      </c>
      <c r="B58" s="37" t="n">
        <v>0</v>
      </c>
      <c r="C58" s="37" t="n">
        <v>0</v>
      </c>
      <c r="D58" s="38" t="n">
        <v>20</v>
      </c>
      <c r="E58" s="38" t="n">
        <v>0</v>
      </c>
      <c r="F58" s="38" t="n">
        <v>0</v>
      </c>
      <c r="G58" s="38" t="n">
        <v>0</v>
      </c>
      <c r="H58" s="39" t="n">
        <v>0</v>
      </c>
      <c r="I58" s="39" t="n">
        <v>0</v>
      </c>
      <c r="J58" s="39" t="n">
        <v>0</v>
      </c>
      <c r="K58" s="39" t="n">
        <v>0</v>
      </c>
      <c r="L58" s="39" t="n">
        <v>0</v>
      </c>
      <c r="M58" s="40" t="n">
        <v>2290</v>
      </c>
      <c r="N58" s="42" t="n">
        <f aca="false">((D58+E58+F58+G58)/4)*100/M58</f>
        <v>0.218340611353712</v>
      </c>
      <c r="O58" s="42" t="n">
        <f aca="false">((D58+E58)/3)*100/M58</f>
        <v>0.291120815138282</v>
      </c>
      <c r="P58" s="41" t="n">
        <f aca="false">D58*100/$M58</f>
        <v>0.873362445414847</v>
      </c>
      <c r="Q58" s="43" t="n">
        <f aca="false">E58*100/$M58</f>
        <v>0</v>
      </c>
      <c r="R58" s="43" t="n">
        <f aca="false">F58*100/$M58</f>
        <v>0</v>
      </c>
      <c r="S58" s="43" t="n">
        <f aca="false">G58*100/$M58</f>
        <v>0</v>
      </c>
      <c r="T58" s="46" t="s">
        <v>255</v>
      </c>
      <c r="U58" s="24"/>
      <c r="V58" s="24"/>
      <c r="W58" s="45" t="s">
        <v>256</v>
      </c>
      <c r="Y58" s="1"/>
      <c r="Z58" s="1"/>
      <c r="AA58" s="1"/>
    </row>
    <row r="59" customFormat="false" ht="12.8" hidden="false" customHeight="false" outlineLevel="0" collapsed="false">
      <c r="A59" s="20" t="s">
        <v>257</v>
      </c>
      <c r="B59" s="37" t="n">
        <v>0</v>
      </c>
      <c r="C59" s="37" t="n">
        <v>0</v>
      </c>
      <c r="D59" s="38" t="n">
        <v>0</v>
      </c>
      <c r="E59" s="38" t="n">
        <v>24</v>
      </c>
      <c r="F59" s="38" t="n">
        <v>3</v>
      </c>
      <c r="G59" s="38" t="n">
        <v>0</v>
      </c>
      <c r="H59" s="39" t="n">
        <v>0</v>
      </c>
      <c r="I59" s="39" t="n">
        <v>0</v>
      </c>
      <c r="J59" s="39" t="n">
        <v>0</v>
      </c>
      <c r="K59" s="39" t="n">
        <v>0</v>
      </c>
      <c r="L59" s="39" t="n">
        <v>16</v>
      </c>
      <c r="M59" s="40" t="n">
        <v>3100</v>
      </c>
      <c r="N59" s="42" t="n">
        <f aca="false">((D59+E59+F59+G59)/4)*100/M59</f>
        <v>0.217741935483871</v>
      </c>
      <c r="O59" s="42" t="n">
        <f aca="false">((D59+E59)/3)*100/M59</f>
        <v>0.258064516129032</v>
      </c>
      <c r="P59" s="43" t="n">
        <f aca="false">D59*100/$M59</f>
        <v>0</v>
      </c>
      <c r="Q59" s="41" t="n">
        <f aca="false">E59*100/$M59</f>
        <v>0.774193548387097</v>
      </c>
      <c r="R59" s="43" t="n">
        <f aca="false">F59*100/$M59</f>
        <v>0.0967741935483871</v>
      </c>
      <c r="S59" s="43" t="n">
        <f aca="false">G59*100/$M59</f>
        <v>0</v>
      </c>
      <c r="T59" s="30" t="s">
        <v>148</v>
      </c>
      <c r="U59" s="24"/>
      <c r="V59" s="24"/>
      <c r="W59" s="45"/>
      <c r="Y59" s="1"/>
      <c r="Z59" s="1"/>
      <c r="AA59" s="1"/>
    </row>
    <row r="60" customFormat="false" ht="12.8" hidden="false" customHeight="false" outlineLevel="0" collapsed="false">
      <c r="A60" s="20" t="s">
        <v>258</v>
      </c>
      <c r="B60" s="37" t="n">
        <v>0</v>
      </c>
      <c r="C60" s="37" t="n">
        <v>0</v>
      </c>
      <c r="D60" s="38" t="n">
        <v>0</v>
      </c>
      <c r="E60" s="38" t="n">
        <v>0</v>
      </c>
      <c r="F60" s="38" t="n">
        <v>2</v>
      </c>
      <c r="G60" s="38" t="n">
        <v>2</v>
      </c>
      <c r="H60" s="39" t="n">
        <v>0</v>
      </c>
      <c r="I60" s="39" t="n">
        <v>0</v>
      </c>
      <c r="J60" s="39" t="n">
        <v>0</v>
      </c>
      <c r="K60" s="39" t="n">
        <v>0</v>
      </c>
      <c r="L60" s="39" t="n">
        <v>0</v>
      </c>
      <c r="M60" s="40" t="n">
        <v>480</v>
      </c>
      <c r="N60" s="42" t="n">
        <f aca="false">((D60+E60+F60+G60)/4)*100/M60</f>
        <v>0.208333333333333</v>
      </c>
      <c r="O60" s="42" t="n">
        <f aca="false">((D60+E60)/3)*100/M60</f>
        <v>0</v>
      </c>
      <c r="P60" s="43" t="n">
        <f aca="false">D60*100/$M60</f>
        <v>0</v>
      </c>
      <c r="Q60" s="43" t="n">
        <f aca="false">E60*100/$M60</f>
        <v>0</v>
      </c>
      <c r="R60" s="43" t="n">
        <f aca="false">F60*100/$M60</f>
        <v>0.416666666666667</v>
      </c>
      <c r="S60" s="43" t="n">
        <f aca="false">G60*100/$M60</f>
        <v>0.416666666666667</v>
      </c>
      <c r="T60" s="30" t="s">
        <v>148</v>
      </c>
      <c r="U60" s="44"/>
      <c r="V60" s="44"/>
      <c r="W60" s="20"/>
      <c r="Y60" s="1"/>
      <c r="Z60" s="1"/>
      <c r="AA60" s="1"/>
    </row>
    <row r="61" customFormat="false" ht="12.8" hidden="false" customHeight="false" outlineLevel="0" collapsed="false">
      <c r="A61" s="20" t="s">
        <v>259</v>
      </c>
      <c r="B61" s="37" t="n">
        <v>0</v>
      </c>
      <c r="C61" s="37" t="n">
        <v>0</v>
      </c>
      <c r="D61" s="38" t="n">
        <v>0</v>
      </c>
      <c r="E61" s="38" t="n">
        <v>0</v>
      </c>
      <c r="F61" s="38" t="n">
        <v>24</v>
      </c>
      <c r="G61" s="38" t="n">
        <v>0</v>
      </c>
      <c r="H61" s="39" t="n">
        <v>0</v>
      </c>
      <c r="I61" s="39" t="n">
        <v>16</v>
      </c>
      <c r="J61" s="39" t="n">
        <v>0</v>
      </c>
      <c r="K61" s="39" t="n">
        <v>0</v>
      </c>
      <c r="L61" s="39" t="n">
        <v>0</v>
      </c>
      <c r="M61" s="40" t="n">
        <v>2900</v>
      </c>
      <c r="N61" s="42" t="n">
        <f aca="false">((D61+E61+F61+G61)/4)*100/M61</f>
        <v>0.206896551724138</v>
      </c>
      <c r="O61" s="42" t="n">
        <f aca="false">((D61+E61)/3)*100/M61</f>
        <v>0</v>
      </c>
      <c r="P61" s="43" t="n">
        <f aca="false">D61*100/$M61</f>
        <v>0</v>
      </c>
      <c r="Q61" s="43" t="n">
        <f aca="false">E61*100/$M61</f>
        <v>0</v>
      </c>
      <c r="R61" s="41" t="n">
        <f aca="false">F61*100/$M61</f>
        <v>0.827586206896552</v>
      </c>
      <c r="S61" s="43" t="n">
        <f aca="false">G61*100/$M61</f>
        <v>0</v>
      </c>
      <c r="T61" s="46" t="s">
        <v>260</v>
      </c>
      <c r="U61" s="24"/>
      <c r="V61" s="24"/>
      <c r="W61" s="45" t="s">
        <v>256</v>
      </c>
      <c r="Y61" s="1"/>
      <c r="Z61" s="1"/>
      <c r="AA61" s="1"/>
    </row>
    <row r="62" customFormat="false" ht="12.8" hidden="false" customHeight="false" outlineLevel="0" collapsed="false">
      <c r="A62" s="20" t="s">
        <v>261</v>
      </c>
      <c r="B62" s="37" t="n">
        <v>0</v>
      </c>
      <c r="C62" s="37" t="n">
        <v>0</v>
      </c>
      <c r="D62" s="38" t="n">
        <v>2</v>
      </c>
      <c r="E62" s="38" t="n">
        <v>2</v>
      </c>
      <c r="F62" s="38" t="n">
        <v>0</v>
      </c>
      <c r="G62" s="38" t="n">
        <v>0</v>
      </c>
      <c r="H62" s="39" t="n">
        <v>0</v>
      </c>
      <c r="I62" s="39" t="n">
        <v>0</v>
      </c>
      <c r="J62" s="39" t="n">
        <v>0</v>
      </c>
      <c r="K62" s="39" t="n">
        <v>0</v>
      </c>
      <c r="L62" s="39" t="n">
        <v>0</v>
      </c>
      <c r="M62" s="40" t="n">
        <v>490</v>
      </c>
      <c r="N62" s="42" t="n">
        <f aca="false">((D62+E62+F62+G62)/4)*100/M62</f>
        <v>0.204081632653061</v>
      </c>
      <c r="O62" s="42" t="n">
        <f aca="false">((D62+E62)/3)*100/M62</f>
        <v>0.272108843537415</v>
      </c>
      <c r="P62" s="43" t="n">
        <f aca="false">D62*100/$M62</f>
        <v>0.408163265306122</v>
      </c>
      <c r="Q62" s="43" t="n">
        <f aca="false">E62*100/$M62</f>
        <v>0.408163265306122</v>
      </c>
      <c r="R62" s="43" t="n">
        <f aca="false">F62*100/$M62</f>
        <v>0</v>
      </c>
      <c r="S62" s="43" t="n">
        <f aca="false">G62*100/$M62</f>
        <v>0</v>
      </c>
      <c r="T62" s="30" t="s">
        <v>213</v>
      </c>
      <c r="U62" s="44"/>
      <c r="V62" s="44"/>
      <c r="W62" s="20"/>
      <c r="Y62" s="1"/>
      <c r="Z62" s="1"/>
      <c r="AA62" s="1"/>
    </row>
    <row r="63" customFormat="false" ht="12.8" hidden="false" customHeight="false" outlineLevel="0" collapsed="false">
      <c r="A63" s="20" t="s">
        <v>262</v>
      </c>
      <c r="B63" s="37" t="n">
        <v>0</v>
      </c>
      <c r="C63" s="37" t="n">
        <v>0</v>
      </c>
      <c r="D63" s="38" t="n">
        <v>20</v>
      </c>
      <c r="E63" s="38" t="n">
        <v>0</v>
      </c>
      <c r="F63" s="38" t="n">
        <v>0</v>
      </c>
      <c r="G63" s="38" t="n">
        <v>0</v>
      </c>
      <c r="H63" s="39" t="n">
        <v>0</v>
      </c>
      <c r="I63" s="39" t="n">
        <v>0</v>
      </c>
      <c r="J63" s="39" t="n">
        <v>0</v>
      </c>
      <c r="K63" s="39" t="n">
        <v>10</v>
      </c>
      <c r="L63" s="39" t="n">
        <v>0</v>
      </c>
      <c r="M63" s="40" t="n">
        <v>2500</v>
      </c>
      <c r="N63" s="42" t="n">
        <f aca="false">((D63+E63+F63+G63)/4)*100/M63</f>
        <v>0.2</v>
      </c>
      <c r="O63" s="42" t="n">
        <f aca="false">((D63+E63)/3)*100/M63</f>
        <v>0.266666666666667</v>
      </c>
      <c r="P63" s="41" t="n">
        <f aca="false">D63*100/$M63</f>
        <v>0.8</v>
      </c>
      <c r="Q63" s="43" t="n">
        <f aca="false">E63*100/$M63</f>
        <v>0</v>
      </c>
      <c r="R63" s="43" t="n">
        <f aca="false">F63*100/$M63</f>
        <v>0</v>
      </c>
      <c r="S63" s="43" t="n">
        <f aca="false">G63*100/$M63</f>
        <v>0</v>
      </c>
      <c r="T63" s="30" t="s">
        <v>263</v>
      </c>
      <c r="U63" s="24"/>
      <c r="V63" s="24"/>
      <c r="W63" s="45" t="s">
        <v>195</v>
      </c>
      <c r="Y63" s="1"/>
      <c r="Z63" s="1"/>
      <c r="AA63" s="1"/>
    </row>
    <row r="64" customFormat="false" ht="12.8" hidden="false" customHeight="false" outlineLevel="0" collapsed="false">
      <c r="A64" s="20" t="s">
        <v>264</v>
      </c>
      <c r="B64" s="37" t="n">
        <v>0</v>
      </c>
      <c r="C64" s="37" t="n">
        <v>0</v>
      </c>
      <c r="D64" s="38" t="n">
        <v>0</v>
      </c>
      <c r="E64" s="38" t="n">
        <v>3</v>
      </c>
      <c r="F64" s="38" t="n">
        <v>0</v>
      </c>
      <c r="G64" s="38" t="n">
        <v>3</v>
      </c>
      <c r="H64" s="39" t="n">
        <v>0</v>
      </c>
      <c r="I64" s="39" t="n">
        <v>6</v>
      </c>
      <c r="J64" s="39" t="n">
        <v>0</v>
      </c>
      <c r="K64" s="39" t="n">
        <v>0</v>
      </c>
      <c r="L64" s="39" t="n">
        <v>0</v>
      </c>
      <c r="M64" s="40" t="n">
        <v>750</v>
      </c>
      <c r="N64" s="42" t="n">
        <f aca="false">((D64+E64+F64+G64)/4)*100/M64</f>
        <v>0.2</v>
      </c>
      <c r="O64" s="42" t="n">
        <f aca="false">((D64+E64)/3)*100/M64</f>
        <v>0.133333333333333</v>
      </c>
      <c r="P64" s="43" t="n">
        <f aca="false">D64*100/$M64</f>
        <v>0</v>
      </c>
      <c r="Q64" s="43" t="n">
        <f aca="false">E64*100/$M64</f>
        <v>0.4</v>
      </c>
      <c r="R64" s="43" t="n">
        <f aca="false">F64*100/$M64</f>
        <v>0</v>
      </c>
      <c r="S64" s="43" t="n">
        <f aca="false">G64*100/$M64</f>
        <v>0.4</v>
      </c>
      <c r="T64" s="30" t="s">
        <v>148</v>
      </c>
      <c r="U64" s="44"/>
      <c r="V64" s="44"/>
      <c r="W64" s="20"/>
      <c r="Y64" s="1"/>
      <c r="Z64" s="1"/>
      <c r="AA64" s="1"/>
    </row>
    <row r="65" customFormat="false" ht="12.8" hidden="false" customHeight="false" outlineLevel="0" collapsed="false">
      <c r="A65" s="45" t="s">
        <v>265</v>
      </c>
      <c r="B65" s="37" t="n">
        <v>0</v>
      </c>
      <c r="C65" s="37" t="n">
        <v>0</v>
      </c>
      <c r="D65" s="38" t="n">
        <v>6</v>
      </c>
      <c r="E65" s="38" t="n">
        <v>0</v>
      </c>
      <c r="F65" s="38" t="n">
        <v>4</v>
      </c>
      <c r="G65" s="38" t="n">
        <v>4</v>
      </c>
      <c r="H65" s="39" t="n">
        <v>0</v>
      </c>
      <c r="I65" s="39" t="n">
        <v>0</v>
      </c>
      <c r="J65" s="39" t="n">
        <v>0</v>
      </c>
      <c r="K65" s="39" t="n">
        <v>0</v>
      </c>
      <c r="L65" s="39" t="n">
        <v>5</v>
      </c>
      <c r="M65" s="40" t="n">
        <v>1760</v>
      </c>
      <c r="N65" s="42" t="n">
        <f aca="false">((D65+E65+F65+G65)/4)*100/M65</f>
        <v>0.198863636363636</v>
      </c>
      <c r="O65" s="42" t="n">
        <f aca="false">((D65+E65)/3)*100/M65</f>
        <v>0.113636363636364</v>
      </c>
      <c r="P65" s="43" t="n">
        <f aca="false">D65*100/$M65</f>
        <v>0.340909090909091</v>
      </c>
      <c r="Q65" s="43" t="n">
        <f aca="false">E65*100/$M65</f>
        <v>0</v>
      </c>
      <c r="R65" s="43" t="n">
        <f aca="false">F65*100/$M65</f>
        <v>0.227272727272727</v>
      </c>
      <c r="S65" s="43" t="n">
        <f aca="false">G65*100/$M65</f>
        <v>0.227272727272727</v>
      </c>
      <c r="T65" s="46" t="s">
        <v>266</v>
      </c>
      <c r="U65" s="44"/>
      <c r="V65" s="44"/>
      <c r="W65" s="45"/>
      <c r="Y65" s="1"/>
      <c r="Z65" s="1"/>
      <c r="AA65" s="1"/>
    </row>
    <row r="66" customFormat="false" ht="12.8" hidden="false" customHeight="false" outlineLevel="0" collapsed="false">
      <c r="A66" s="20" t="s">
        <v>267</v>
      </c>
      <c r="B66" s="37" t="n">
        <v>0</v>
      </c>
      <c r="C66" s="37" t="n">
        <v>0</v>
      </c>
      <c r="D66" s="38" t="n">
        <v>0</v>
      </c>
      <c r="E66" s="38" t="n">
        <v>2</v>
      </c>
      <c r="F66" s="38" t="n">
        <v>4</v>
      </c>
      <c r="G66" s="38" t="n">
        <v>0</v>
      </c>
      <c r="H66" s="39" t="n">
        <v>0</v>
      </c>
      <c r="I66" s="39" t="n">
        <v>0</v>
      </c>
      <c r="J66" s="39" t="n">
        <v>0</v>
      </c>
      <c r="K66" s="39" t="n">
        <v>3</v>
      </c>
      <c r="L66" s="39" t="n">
        <v>0</v>
      </c>
      <c r="M66" s="40" t="n">
        <v>800</v>
      </c>
      <c r="N66" s="42" t="n">
        <f aca="false">((D66+E66+F66+G66)/4)*100/M66</f>
        <v>0.1875</v>
      </c>
      <c r="O66" s="42" t="n">
        <f aca="false">((D66+E66)/3)*100/M66</f>
        <v>0.0833333333333333</v>
      </c>
      <c r="P66" s="43" t="n">
        <f aca="false">D66*100/$M66</f>
        <v>0</v>
      </c>
      <c r="Q66" s="43" t="n">
        <f aca="false">E66*100/$M66</f>
        <v>0.25</v>
      </c>
      <c r="R66" s="43" t="n">
        <f aca="false">F66*100/$M66</f>
        <v>0.5</v>
      </c>
      <c r="S66" s="43" t="n">
        <f aca="false">G66*100/$M66</f>
        <v>0</v>
      </c>
      <c r="T66" s="30" t="s">
        <v>268</v>
      </c>
      <c r="U66" s="44"/>
      <c r="V66" s="44"/>
      <c r="W66" s="20"/>
      <c r="Y66" s="1"/>
      <c r="Z66" s="1"/>
      <c r="AA66" s="1"/>
    </row>
    <row r="67" customFormat="false" ht="12.8" hidden="false" customHeight="false" outlineLevel="0" collapsed="false">
      <c r="A67" s="20" t="s">
        <v>269</v>
      </c>
      <c r="B67" s="37" t="n">
        <v>0</v>
      </c>
      <c r="C67" s="37" t="n">
        <v>0</v>
      </c>
      <c r="D67" s="38" t="n">
        <v>0</v>
      </c>
      <c r="E67" s="38" t="n">
        <v>0</v>
      </c>
      <c r="F67" s="38" t="n">
        <v>1</v>
      </c>
      <c r="G67" s="38" t="n">
        <v>6</v>
      </c>
      <c r="H67" s="39" t="n">
        <v>0</v>
      </c>
      <c r="I67" s="39" t="n">
        <v>0</v>
      </c>
      <c r="J67" s="39" t="n">
        <v>0</v>
      </c>
      <c r="K67" s="39" t="n">
        <v>6</v>
      </c>
      <c r="L67" s="39" t="n">
        <v>0</v>
      </c>
      <c r="M67" s="40" t="n">
        <v>970</v>
      </c>
      <c r="N67" s="42" t="n">
        <f aca="false">((D67+E67+F67+G67)/4)*100/M67</f>
        <v>0.180412371134021</v>
      </c>
      <c r="O67" s="42" t="n">
        <f aca="false">((D67+E67)/3)*100/M67</f>
        <v>0</v>
      </c>
      <c r="P67" s="43" t="n">
        <f aca="false">D67*100/$M67</f>
        <v>0</v>
      </c>
      <c r="Q67" s="43" t="n">
        <f aca="false">E67*100/$M67</f>
        <v>0</v>
      </c>
      <c r="R67" s="43" t="n">
        <f aca="false">F67*100/$M67</f>
        <v>0.103092783505155</v>
      </c>
      <c r="S67" s="41" t="n">
        <f aca="false">G67*100/$M67</f>
        <v>0.618556701030928</v>
      </c>
      <c r="T67" s="30" t="s">
        <v>270</v>
      </c>
      <c r="U67" s="44"/>
      <c r="V67" s="44"/>
      <c r="W67" s="20"/>
      <c r="Y67" s="1"/>
      <c r="Z67" s="1"/>
      <c r="AA67" s="1"/>
    </row>
    <row r="68" customFormat="false" ht="12.8" hidden="false" customHeight="false" outlineLevel="0" collapsed="false">
      <c r="A68" s="20" t="s">
        <v>271</v>
      </c>
      <c r="B68" s="37" t="n">
        <v>-10</v>
      </c>
      <c r="C68" s="37" t="n">
        <v>0</v>
      </c>
      <c r="D68" s="38" t="n">
        <v>0</v>
      </c>
      <c r="E68" s="38" t="n">
        <v>0</v>
      </c>
      <c r="F68" s="38" t="n">
        <v>4</v>
      </c>
      <c r="G68" s="38" t="n">
        <v>0</v>
      </c>
      <c r="H68" s="39" t="n">
        <v>0</v>
      </c>
      <c r="I68" s="39" t="n">
        <v>0</v>
      </c>
      <c r="J68" s="39" t="n">
        <v>0</v>
      </c>
      <c r="K68" s="39" t="n">
        <v>0</v>
      </c>
      <c r="L68" s="39" t="n">
        <v>0</v>
      </c>
      <c r="M68" s="40" t="n">
        <v>580</v>
      </c>
      <c r="N68" s="42" t="n">
        <f aca="false">((D68+E68+F68+G68)/4)*100/M68</f>
        <v>0.172413793103448</v>
      </c>
      <c r="O68" s="42" t="n">
        <f aca="false">((D68+E68)/3)*100/M68</f>
        <v>0</v>
      </c>
      <c r="P68" s="43" t="n">
        <f aca="false">D68*100/$M68</f>
        <v>0</v>
      </c>
      <c r="Q68" s="43" t="n">
        <f aca="false">E68*100/$M68</f>
        <v>0</v>
      </c>
      <c r="R68" s="43" t="n">
        <f aca="false">F68*100/$M68</f>
        <v>0.689655172413793</v>
      </c>
      <c r="S68" s="43" t="n">
        <f aca="false">G68*100/$M68</f>
        <v>0</v>
      </c>
      <c r="T68" s="46" t="s">
        <v>272</v>
      </c>
      <c r="U68" s="44"/>
      <c r="V68" s="44"/>
      <c r="W68" s="20"/>
      <c r="Y68" s="1"/>
      <c r="Z68" s="1"/>
      <c r="AA68" s="1"/>
    </row>
    <row r="69" customFormat="false" ht="12.8" hidden="false" customHeight="false" outlineLevel="0" collapsed="false">
      <c r="A69" s="20" t="s">
        <v>273</v>
      </c>
      <c r="B69" s="37" t="n">
        <v>0</v>
      </c>
      <c r="C69" s="37" t="n">
        <v>0</v>
      </c>
      <c r="D69" s="38" t="n">
        <v>0</v>
      </c>
      <c r="E69" s="38" t="n">
        <v>0</v>
      </c>
      <c r="F69" s="38" t="n">
        <v>3</v>
      </c>
      <c r="G69" s="38" t="n">
        <v>3</v>
      </c>
      <c r="H69" s="39" t="n">
        <v>3</v>
      </c>
      <c r="I69" s="39" t="n">
        <v>3</v>
      </c>
      <c r="J69" s="39" t="n">
        <v>0</v>
      </c>
      <c r="K69" s="39" t="n">
        <v>0</v>
      </c>
      <c r="L69" s="39" t="n">
        <v>3</v>
      </c>
      <c r="M69" s="40" t="n">
        <v>880</v>
      </c>
      <c r="N69" s="42" t="n">
        <f aca="false">((D69+E69+F69+G69)/4)*100/M69</f>
        <v>0.170454545454545</v>
      </c>
      <c r="O69" s="42" t="n">
        <f aca="false">((D69+E69)/3)*100/M69</f>
        <v>0</v>
      </c>
      <c r="P69" s="43" t="n">
        <f aca="false">D69*100/$M69</f>
        <v>0</v>
      </c>
      <c r="Q69" s="43" t="n">
        <f aca="false">E69*100/$M69</f>
        <v>0</v>
      </c>
      <c r="R69" s="43" t="n">
        <f aca="false">F69*100/$M69</f>
        <v>0.340909090909091</v>
      </c>
      <c r="S69" s="43" t="n">
        <f aca="false">G69*100/$M69</f>
        <v>0.340909090909091</v>
      </c>
      <c r="T69" s="30" t="s">
        <v>274</v>
      </c>
      <c r="U69" s="44"/>
      <c r="V69" s="44"/>
      <c r="W69" s="20"/>
      <c r="Y69" s="1"/>
      <c r="Z69" s="1"/>
      <c r="AA69" s="1"/>
    </row>
    <row r="70" customFormat="false" ht="12.8" hidden="false" customHeight="false" outlineLevel="0" collapsed="false">
      <c r="A70" s="20" t="s">
        <v>275</v>
      </c>
      <c r="B70" s="37" t="n">
        <v>0</v>
      </c>
      <c r="C70" s="37" t="n">
        <v>0</v>
      </c>
      <c r="D70" s="38" t="n">
        <v>2</v>
      </c>
      <c r="E70" s="38" t="n">
        <v>0</v>
      </c>
      <c r="F70" s="38" t="n">
        <v>0</v>
      </c>
      <c r="G70" s="38" t="n">
        <v>0</v>
      </c>
      <c r="H70" s="39" t="n">
        <v>0</v>
      </c>
      <c r="I70" s="39" t="n">
        <v>0</v>
      </c>
      <c r="J70" s="39" t="n">
        <v>0</v>
      </c>
      <c r="K70" s="39" t="n">
        <v>0</v>
      </c>
      <c r="L70" s="39" t="n">
        <v>0</v>
      </c>
      <c r="M70" s="40" t="n">
        <v>320</v>
      </c>
      <c r="N70" s="42" t="n">
        <f aca="false">((D70+E70+F70+G70)/4)*100/M70</f>
        <v>0.15625</v>
      </c>
      <c r="O70" s="42" t="n">
        <f aca="false">((D70+E70)/3)*100/M70</f>
        <v>0.208333333333333</v>
      </c>
      <c r="P70" s="41" t="n">
        <f aca="false">D70*100/$M70</f>
        <v>0.625</v>
      </c>
      <c r="Q70" s="43" t="n">
        <f aca="false">E70*100/$M70</f>
        <v>0</v>
      </c>
      <c r="R70" s="43" t="n">
        <f aca="false">F70*100/$M70</f>
        <v>0</v>
      </c>
      <c r="S70" s="43" t="n">
        <f aca="false">G70*100/$M70</f>
        <v>0</v>
      </c>
      <c r="T70" s="30" t="s">
        <v>276</v>
      </c>
      <c r="U70" s="44"/>
      <c r="V70" s="44"/>
      <c r="W70" s="20"/>
      <c r="Y70" s="1"/>
      <c r="Z70" s="1"/>
      <c r="AA70" s="1"/>
      <c r="AB70" s="49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</row>
    <row r="71" customFormat="false" ht="12.8" hidden="false" customHeight="false" outlineLevel="0" collapsed="false">
      <c r="A71" s="20" t="s">
        <v>277</v>
      </c>
      <c r="B71" s="37" t="n">
        <v>40</v>
      </c>
      <c r="C71" s="37" t="n">
        <v>0</v>
      </c>
      <c r="D71" s="38" t="n">
        <v>0</v>
      </c>
      <c r="E71" s="38" t="n">
        <v>16</v>
      </c>
      <c r="F71" s="38" t="n">
        <v>0</v>
      </c>
      <c r="G71" s="38" t="n">
        <v>0</v>
      </c>
      <c r="H71" s="39" t="n">
        <v>0</v>
      </c>
      <c r="I71" s="39" t="n">
        <v>0</v>
      </c>
      <c r="J71" s="39" t="n">
        <v>0</v>
      </c>
      <c r="K71" s="39" t="n">
        <v>0</v>
      </c>
      <c r="L71" s="39" t="n">
        <v>16</v>
      </c>
      <c r="M71" s="40" t="n">
        <v>2800</v>
      </c>
      <c r="N71" s="42" t="n">
        <f aca="false">((D71+E71+F71+G71)/4)*100/M71</f>
        <v>0.142857142857143</v>
      </c>
      <c r="O71" s="42" t="n">
        <f aca="false">((D71+E71)/3)*100/M71</f>
        <v>0.19047619047619</v>
      </c>
      <c r="P71" s="43" t="n">
        <f aca="false">D71*100/$M71</f>
        <v>0</v>
      </c>
      <c r="Q71" s="43" t="n">
        <f aca="false">E71*100/$M71</f>
        <v>0.571428571428571</v>
      </c>
      <c r="R71" s="43" t="n">
        <f aca="false">F71*100/$M71</f>
        <v>0</v>
      </c>
      <c r="S71" s="43" t="n">
        <f aca="false">G71*100/$M71</f>
        <v>0</v>
      </c>
      <c r="T71" s="46" t="s">
        <v>278</v>
      </c>
      <c r="U71" s="24"/>
      <c r="V71" s="24"/>
      <c r="W71" s="45" t="s">
        <v>180</v>
      </c>
      <c r="X71" s="50"/>
      <c r="Y71" s="1"/>
      <c r="Z71" s="1"/>
      <c r="AA71" s="1"/>
    </row>
    <row r="72" customFormat="false" ht="12.8" hidden="false" customHeight="false" outlineLevel="0" collapsed="false">
      <c r="A72" s="20" t="s">
        <v>279</v>
      </c>
      <c r="B72" s="37" t="n">
        <v>0</v>
      </c>
      <c r="C72" s="37" t="n">
        <v>0</v>
      </c>
      <c r="D72" s="38" t="n">
        <v>0</v>
      </c>
      <c r="E72" s="38" t="n">
        <v>0</v>
      </c>
      <c r="F72" s="38" t="n">
        <v>5</v>
      </c>
      <c r="G72" s="38" t="n">
        <v>0</v>
      </c>
      <c r="H72" s="39" t="n">
        <v>10</v>
      </c>
      <c r="I72" s="39" t="n">
        <v>0</v>
      </c>
      <c r="J72" s="39" t="n">
        <v>0</v>
      </c>
      <c r="K72" s="39" t="n">
        <v>0</v>
      </c>
      <c r="L72" s="39" t="n">
        <v>0</v>
      </c>
      <c r="M72" s="40" t="n">
        <v>900</v>
      </c>
      <c r="N72" s="42" t="n">
        <f aca="false">((D72+E72+F72+G72)/4)*100/M72</f>
        <v>0.138888888888889</v>
      </c>
      <c r="O72" s="42" t="n">
        <f aca="false">((D72+E72)/3)*100/M72</f>
        <v>0</v>
      </c>
      <c r="P72" s="43" t="n">
        <f aca="false">D72*100/$M72</f>
        <v>0</v>
      </c>
      <c r="Q72" s="43" t="n">
        <f aca="false">E72*100/$M72</f>
        <v>0</v>
      </c>
      <c r="R72" s="43" t="n">
        <f aca="false">F72*100/$M72</f>
        <v>0.555555555555556</v>
      </c>
      <c r="S72" s="43" t="n">
        <f aca="false">G72*100/$M72</f>
        <v>0</v>
      </c>
      <c r="T72" s="30" t="s">
        <v>280</v>
      </c>
      <c r="U72" s="44"/>
      <c r="V72" s="44"/>
      <c r="W72" s="20"/>
      <c r="Y72" s="1"/>
      <c r="Z72" s="1"/>
      <c r="AA72" s="1"/>
    </row>
    <row r="73" customFormat="false" ht="12.8" hidden="false" customHeight="false" outlineLevel="0" collapsed="false">
      <c r="A73" s="20" t="s">
        <v>281</v>
      </c>
      <c r="B73" s="37" t="n">
        <v>0</v>
      </c>
      <c r="C73" s="37" t="n">
        <v>0</v>
      </c>
      <c r="D73" s="38" t="n">
        <v>0</v>
      </c>
      <c r="E73" s="38" t="n">
        <v>0</v>
      </c>
      <c r="F73" s="38" t="n">
        <v>1</v>
      </c>
      <c r="G73" s="38" t="n">
        <v>0</v>
      </c>
      <c r="H73" s="39" t="n">
        <v>0</v>
      </c>
      <c r="I73" s="39" t="n">
        <v>0</v>
      </c>
      <c r="J73" s="39" t="n">
        <v>0</v>
      </c>
      <c r="K73" s="39" t="n">
        <v>0</v>
      </c>
      <c r="L73" s="39" t="n">
        <v>0</v>
      </c>
      <c r="M73" s="40" t="n">
        <v>190</v>
      </c>
      <c r="N73" s="42" t="n">
        <f aca="false">((D73+E73+F73+G73)/4)*100/M73</f>
        <v>0.131578947368421</v>
      </c>
      <c r="O73" s="42" t="n">
        <f aca="false">((D73+E73)/3)*100/M73</f>
        <v>0</v>
      </c>
      <c r="P73" s="43" t="n">
        <f aca="false">D73*100/$M73</f>
        <v>0</v>
      </c>
      <c r="Q73" s="43" t="n">
        <f aca="false">E73*100/$M73</f>
        <v>0</v>
      </c>
      <c r="R73" s="43" t="n">
        <f aca="false">F73*100/$M73</f>
        <v>0.526315789473684</v>
      </c>
      <c r="S73" s="43" t="n">
        <f aca="false">G73*100/$M73</f>
        <v>0</v>
      </c>
      <c r="T73" s="30" t="s">
        <v>148</v>
      </c>
      <c r="U73" s="44"/>
      <c r="V73" s="44"/>
      <c r="W73" s="20"/>
      <c r="Y73" s="1"/>
      <c r="Z73" s="1"/>
      <c r="AA73" s="1"/>
    </row>
    <row r="74" customFormat="false" ht="12.8" hidden="false" customHeight="false" outlineLevel="0" collapsed="false">
      <c r="A74" s="20" t="s">
        <v>282</v>
      </c>
      <c r="B74" s="37" t="n">
        <v>0</v>
      </c>
      <c r="C74" s="37" t="n">
        <v>0</v>
      </c>
      <c r="D74" s="38" t="n">
        <v>0</v>
      </c>
      <c r="E74" s="38" t="n">
        <v>0</v>
      </c>
      <c r="F74" s="38" t="n">
        <v>2</v>
      </c>
      <c r="G74" s="38" t="n">
        <v>0</v>
      </c>
      <c r="H74" s="39" t="n">
        <v>0</v>
      </c>
      <c r="I74" s="39" t="n">
        <v>0</v>
      </c>
      <c r="J74" s="39" t="n">
        <v>0</v>
      </c>
      <c r="K74" s="39" t="n">
        <v>3</v>
      </c>
      <c r="L74" s="39" t="n">
        <v>0</v>
      </c>
      <c r="M74" s="40" t="n">
        <v>400</v>
      </c>
      <c r="N74" s="42" t="n">
        <f aca="false">((D74+E74+F74+G74)/4)*100/M74</f>
        <v>0.125</v>
      </c>
      <c r="O74" s="42" t="n">
        <f aca="false">((D74+E74)/3)*100/M74</f>
        <v>0</v>
      </c>
      <c r="P74" s="43" t="n">
        <f aca="false">D74*100/$M74</f>
        <v>0</v>
      </c>
      <c r="Q74" s="43" t="n">
        <f aca="false">E74*100/$M74</f>
        <v>0</v>
      </c>
      <c r="R74" s="43" t="n">
        <f aca="false">F74*100/$M74</f>
        <v>0.5</v>
      </c>
      <c r="S74" s="43" t="n">
        <f aca="false">G74*100/$M74</f>
        <v>0</v>
      </c>
      <c r="T74" s="46" t="s">
        <v>283</v>
      </c>
      <c r="U74" s="24"/>
      <c r="V74" s="24"/>
      <c r="W74" s="45"/>
      <c r="Y74" s="1"/>
      <c r="Z74" s="1"/>
      <c r="AA74" s="1"/>
    </row>
    <row r="75" customFormat="false" ht="12.8" hidden="false" customHeight="false" outlineLevel="0" collapsed="false">
      <c r="A75" s="20" t="s">
        <v>284</v>
      </c>
      <c r="B75" s="37" t="n">
        <v>0</v>
      </c>
      <c r="C75" s="37" t="n">
        <v>0</v>
      </c>
      <c r="D75" s="38" t="n">
        <v>2</v>
      </c>
      <c r="E75" s="38" t="n">
        <v>0</v>
      </c>
      <c r="F75" s="38" t="n">
        <v>0</v>
      </c>
      <c r="G75" s="38" t="n">
        <v>0</v>
      </c>
      <c r="H75" s="39" t="n">
        <v>0</v>
      </c>
      <c r="I75" s="39" t="n">
        <v>0</v>
      </c>
      <c r="J75" s="39" t="n">
        <v>2</v>
      </c>
      <c r="K75" s="39" t="n">
        <v>0</v>
      </c>
      <c r="L75" s="39" t="n">
        <v>0</v>
      </c>
      <c r="M75" s="40" t="n">
        <v>520</v>
      </c>
      <c r="N75" s="42" t="n">
        <f aca="false">((D75+E75+F75+G75)/4)*100/M75</f>
        <v>0.0961538461538462</v>
      </c>
      <c r="O75" s="42" t="n">
        <f aca="false">((D75+E75)/3)*100/M75</f>
        <v>0.128205128205128</v>
      </c>
      <c r="P75" s="43" t="n">
        <f aca="false">D75*100/$M75</f>
        <v>0.384615384615385</v>
      </c>
      <c r="Q75" s="43" t="n">
        <f aca="false">E75*100/$M75</f>
        <v>0</v>
      </c>
      <c r="R75" s="43" t="n">
        <f aca="false">F75*100/$M75</f>
        <v>0</v>
      </c>
      <c r="S75" s="43" t="n">
        <f aca="false">G75*100/$M75</f>
        <v>0</v>
      </c>
      <c r="T75" s="46" t="s">
        <v>285</v>
      </c>
      <c r="U75" s="24"/>
      <c r="V75" s="24"/>
      <c r="W75" s="45"/>
      <c r="Y75" s="1"/>
      <c r="Z75" s="1"/>
      <c r="AA75" s="1"/>
    </row>
    <row r="76" customFormat="false" ht="12.8" hidden="false" customHeight="false" outlineLevel="0" collapsed="false">
      <c r="A76" s="20" t="s">
        <v>286</v>
      </c>
      <c r="B76" s="37" t="n">
        <v>0</v>
      </c>
      <c r="C76" s="37" t="n">
        <v>0</v>
      </c>
      <c r="D76" s="38" t="n">
        <v>7</v>
      </c>
      <c r="E76" s="38" t="n">
        <v>0</v>
      </c>
      <c r="F76" s="38" t="n">
        <v>0</v>
      </c>
      <c r="G76" s="38" t="n">
        <v>0</v>
      </c>
      <c r="H76" s="39" t="n">
        <v>0</v>
      </c>
      <c r="I76" s="39" t="n">
        <v>0</v>
      </c>
      <c r="J76" s="39" t="n">
        <v>0</v>
      </c>
      <c r="K76" s="39" t="n">
        <v>0</v>
      </c>
      <c r="L76" s="39" t="n">
        <v>0</v>
      </c>
      <c r="M76" s="40" t="n">
        <v>2320</v>
      </c>
      <c r="N76" s="42" t="n">
        <f aca="false">((D76+E76+F76+G76)/4)*100/M76</f>
        <v>0.0754310344827586</v>
      </c>
      <c r="O76" s="42" t="n">
        <f aca="false">((D76+E76)/3)*100/M76</f>
        <v>0.100574712643678</v>
      </c>
      <c r="P76" s="43" t="n">
        <f aca="false">D76*100/$M76</f>
        <v>0.301724137931035</v>
      </c>
      <c r="Q76" s="43" t="n">
        <f aca="false">E76*100/$M76</f>
        <v>0</v>
      </c>
      <c r="R76" s="43" t="n">
        <f aca="false">F76*100/$M76</f>
        <v>0</v>
      </c>
      <c r="S76" s="43" t="n">
        <f aca="false">G76*100/$M76</f>
        <v>0</v>
      </c>
      <c r="T76" s="46" t="s">
        <v>287</v>
      </c>
      <c r="U76" s="44"/>
      <c r="V76" s="44"/>
      <c r="W76" s="20"/>
      <c r="Y76" s="1"/>
      <c r="Z76" s="1"/>
      <c r="AA76" s="1"/>
    </row>
    <row r="77" customFormat="false" ht="12.8" hidden="false" customHeight="false" outlineLevel="0" collapsed="false">
      <c r="A77" s="20" t="s">
        <v>288</v>
      </c>
      <c r="B77" s="37" t="n">
        <v>100</v>
      </c>
      <c r="C77" s="37" t="n">
        <v>0</v>
      </c>
      <c r="D77" s="38" t="n">
        <v>0</v>
      </c>
      <c r="E77" s="38" t="n">
        <v>0</v>
      </c>
      <c r="F77" s="38" t="n">
        <v>0</v>
      </c>
      <c r="G77" s="38" t="n">
        <v>0</v>
      </c>
      <c r="H77" s="39" t="n">
        <v>0</v>
      </c>
      <c r="I77" s="39" t="n">
        <v>0</v>
      </c>
      <c r="J77" s="39" t="n">
        <v>0</v>
      </c>
      <c r="K77" s="39" t="n">
        <v>0</v>
      </c>
      <c r="L77" s="39" t="n">
        <v>0</v>
      </c>
      <c r="M77" s="40" t="n">
        <v>2000</v>
      </c>
      <c r="N77" s="42" t="n">
        <f aca="false">((D77+E77+F77+G77)/4)*100/M77</f>
        <v>0</v>
      </c>
      <c r="O77" s="42" t="n">
        <f aca="false">((D77+E77)/3)*100/M77</f>
        <v>0</v>
      </c>
      <c r="P77" s="43" t="n">
        <f aca="false">D77*100/$M77</f>
        <v>0</v>
      </c>
      <c r="Q77" s="43" t="n">
        <f aca="false">E77*100/$M77</f>
        <v>0</v>
      </c>
      <c r="R77" s="43" t="n">
        <f aca="false">F77*100/$M77</f>
        <v>0</v>
      </c>
      <c r="S77" s="43" t="n">
        <f aca="false">G77*100/$M77</f>
        <v>0</v>
      </c>
      <c r="T77" s="30" t="s">
        <v>148</v>
      </c>
      <c r="U77" s="24" t="n">
        <v>2</v>
      </c>
      <c r="V77" s="24" t="n">
        <v>1</v>
      </c>
      <c r="W77" s="20" t="s">
        <v>246</v>
      </c>
      <c r="Y77" s="1"/>
      <c r="Z77" s="1"/>
      <c r="AA77" s="1"/>
    </row>
    <row r="78" customFormat="false" ht="12.8" hidden="false" customHeight="false" outlineLevel="0" collapsed="false">
      <c r="A78" s="20" t="s">
        <v>289</v>
      </c>
      <c r="B78" s="37" t="n">
        <v>0</v>
      </c>
      <c r="C78" s="37" t="n">
        <v>0</v>
      </c>
      <c r="D78" s="38" t="n">
        <v>0</v>
      </c>
      <c r="E78" s="38" t="n">
        <v>0</v>
      </c>
      <c r="F78" s="38" t="n">
        <v>0</v>
      </c>
      <c r="G78" s="38" t="n">
        <v>0</v>
      </c>
      <c r="H78" s="39" t="n">
        <v>0</v>
      </c>
      <c r="I78" s="39" t="n">
        <v>0</v>
      </c>
      <c r="J78" s="39" t="n">
        <v>0</v>
      </c>
      <c r="K78" s="39" t="n">
        <v>0</v>
      </c>
      <c r="L78" s="39" t="n">
        <v>30</v>
      </c>
      <c r="M78" s="40" t="n">
        <v>1270</v>
      </c>
      <c r="N78" s="42" t="n">
        <f aca="false">((D78+E78+F78+G78)/4)*100/M78</f>
        <v>0</v>
      </c>
      <c r="O78" s="42" t="n">
        <f aca="false">((D78+E78)/3)*100/M78</f>
        <v>0</v>
      </c>
      <c r="P78" s="43" t="n">
        <f aca="false">D78*100/$M78</f>
        <v>0</v>
      </c>
      <c r="Q78" s="43" t="n">
        <f aca="false">E78*100/$M78</f>
        <v>0</v>
      </c>
      <c r="R78" s="43" t="n">
        <f aca="false">F78*100/$M78</f>
        <v>0</v>
      </c>
      <c r="S78" s="43" t="n">
        <f aca="false">G78*100/$M78</f>
        <v>0</v>
      </c>
      <c r="T78" s="30" t="s">
        <v>148</v>
      </c>
      <c r="U78" s="24"/>
      <c r="V78" s="24"/>
      <c r="W78" s="20"/>
      <c r="Y78" s="1"/>
      <c r="Z78" s="1"/>
      <c r="AA78" s="1"/>
    </row>
    <row r="79" customFormat="false" ht="12.8" hidden="false" customHeight="false" outlineLevel="0" collapsed="false">
      <c r="A79" s="20" t="s">
        <v>290</v>
      </c>
      <c r="B79" s="37" t="n">
        <v>0</v>
      </c>
      <c r="C79" s="37" t="n">
        <v>0</v>
      </c>
      <c r="D79" s="38" t="n">
        <v>0</v>
      </c>
      <c r="E79" s="38" t="n">
        <v>0</v>
      </c>
      <c r="F79" s="38" t="n">
        <v>0</v>
      </c>
      <c r="G79" s="38" t="n">
        <v>0</v>
      </c>
      <c r="H79" s="39" t="n">
        <v>0</v>
      </c>
      <c r="I79" s="39" t="n">
        <v>0</v>
      </c>
      <c r="J79" s="39" t="n">
        <v>0</v>
      </c>
      <c r="K79" s="39" t="n">
        <v>30</v>
      </c>
      <c r="L79" s="39" t="n">
        <v>0</v>
      </c>
      <c r="M79" s="40" t="n">
        <v>1270</v>
      </c>
      <c r="N79" s="42" t="n">
        <f aca="false">((D79+E79+F79+G79)/4)*100/M79</f>
        <v>0</v>
      </c>
      <c r="O79" s="42" t="n">
        <f aca="false">((D79+E79)/3)*100/M79</f>
        <v>0</v>
      </c>
      <c r="P79" s="43" t="n">
        <f aca="false">D79*100/$M79</f>
        <v>0</v>
      </c>
      <c r="Q79" s="43" t="n">
        <f aca="false">E79*100/$M79</f>
        <v>0</v>
      </c>
      <c r="R79" s="43" t="n">
        <f aca="false">F79*100/$M79</f>
        <v>0</v>
      </c>
      <c r="S79" s="43" t="n">
        <f aca="false">G79*100/$M79</f>
        <v>0</v>
      </c>
      <c r="T79" s="30" t="s">
        <v>148</v>
      </c>
      <c r="U79" s="44"/>
      <c r="V79" s="44"/>
      <c r="W79" s="20"/>
      <c r="Y79" s="1"/>
      <c r="Z79" s="1"/>
      <c r="AA79" s="1"/>
    </row>
    <row r="80" customFormat="false" ht="12.8" hidden="false" customHeight="false" outlineLevel="0" collapsed="false">
      <c r="A80" s="20" t="s">
        <v>291</v>
      </c>
      <c r="B80" s="37" t="n">
        <v>0</v>
      </c>
      <c r="C80" s="37" t="n">
        <v>0</v>
      </c>
      <c r="D80" s="38" t="n">
        <v>0</v>
      </c>
      <c r="E80" s="38" t="n">
        <v>0</v>
      </c>
      <c r="F80" s="38" t="n">
        <v>0</v>
      </c>
      <c r="G80" s="38" t="n">
        <v>0</v>
      </c>
      <c r="H80" s="39" t="n">
        <v>0</v>
      </c>
      <c r="I80" s="39" t="n">
        <v>0</v>
      </c>
      <c r="J80" s="39" t="n">
        <v>30</v>
      </c>
      <c r="K80" s="39" t="n">
        <v>0</v>
      </c>
      <c r="L80" s="39" t="n">
        <v>0</v>
      </c>
      <c r="M80" s="40" t="n">
        <v>1270</v>
      </c>
      <c r="N80" s="42" t="n">
        <f aca="false">((D80+E80+F80+G80)/4)*100/M80</f>
        <v>0</v>
      </c>
      <c r="O80" s="42" t="n">
        <f aca="false">((D80+E80)/3)*100/M80</f>
        <v>0</v>
      </c>
      <c r="P80" s="43" t="n">
        <f aca="false">D80*100/$M80</f>
        <v>0</v>
      </c>
      <c r="Q80" s="43" t="n">
        <f aca="false">E80*100/$M80</f>
        <v>0</v>
      </c>
      <c r="R80" s="43" t="n">
        <f aca="false">F80*100/$M80</f>
        <v>0</v>
      </c>
      <c r="S80" s="43" t="n">
        <f aca="false">G80*100/$M80</f>
        <v>0</v>
      </c>
      <c r="T80" s="30" t="s">
        <v>292</v>
      </c>
      <c r="U80" s="44"/>
      <c r="V80" s="44"/>
      <c r="W80" s="20"/>
      <c r="Y80" s="1"/>
      <c r="Z80" s="1"/>
      <c r="AA80" s="1"/>
    </row>
    <row r="81" customFormat="false" ht="12.8" hidden="false" customHeight="false" outlineLevel="0" collapsed="false">
      <c r="A81" s="20" t="s">
        <v>293</v>
      </c>
      <c r="B81" s="37" t="n">
        <v>0</v>
      </c>
      <c r="C81" s="37" t="n">
        <v>0</v>
      </c>
      <c r="D81" s="38" t="n">
        <v>0</v>
      </c>
      <c r="E81" s="38" t="n">
        <v>0</v>
      </c>
      <c r="F81" s="38" t="n">
        <v>0</v>
      </c>
      <c r="G81" s="38" t="n">
        <v>0</v>
      </c>
      <c r="H81" s="39" t="n">
        <v>0</v>
      </c>
      <c r="I81" s="39" t="n">
        <v>30</v>
      </c>
      <c r="J81" s="39" t="n">
        <v>0</v>
      </c>
      <c r="K81" s="39" t="n">
        <v>0</v>
      </c>
      <c r="L81" s="39" t="n">
        <v>0</v>
      </c>
      <c r="M81" s="40" t="n">
        <v>1270</v>
      </c>
      <c r="N81" s="42" t="n">
        <f aca="false">((D81+E81+F81+G81)/4)*100/M81</f>
        <v>0</v>
      </c>
      <c r="O81" s="42" t="n">
        <f aca="false">((D81+E81)/3)*100/M81</f>
        <v>0</v>
      </c>
      <c r="P81" s="43" t="n">
        <f aca="false">D81*100/$M81</f>
        <v>0</v>
      </c>
      <c r="Q81" s="43" t="n">
        <f aca="false">E81*100/$M81</f>
        <v>0</v>
      </c>
      <c r="R81" s="43" t="n">
        <f aca="false">F81*100/$M81</f>
        <v>0</v>
      </c>
      <c r="S81" s="43" t="n">
        <f aca="false">G81*100/$M81</f>
        <v>0</v>
      </c>
      <c r="T81" s="30" t="s">
        <v>294</v>
      </c>
      <c r="U81" s="44"/>
      <c r="V81" s="44"/>
      <c r="W81" s="20"/>
      <c r="Y81" s="1"/>
      <c r="Z81" s="1"/>
      <c r="AA81" s="1"/>
    </row>
    <row r="82" customFormat="false" ht="12.8" hidden="false" customHeight="false" outlineLevel="0" collapsed="false">
      <c r="A82" s="20" t="s">
        <v>295</v>
      </c>
      <c r="B82" s="37" t="n">
        <v>0</v>
      </c>
      <c r="C82" s="37" t="n">
        <v>0</v>
      </c>
      <c r="D82" s="38" t="n">
        <v>0</v>
      </c>
      <c r="E82" s="38" t="n">
        <v>0</v>
      </c>
      <c r="F82" s="38" t="n">
        <v>0</v>
      </c>
      <c r="G82" s="38" t="n">
        <v>0</v>
      </c>
      <c r="H82" s="39" t="n">
        <v>30</v>
      </c>
      <c r="I82" s="39" t="n">
        <v>0</v>
      </c>
      <c r="J82" s="39" t="n">
        <v>0</v>
      </c>
      <c r="K82" s="39" t="n">
        <v>0</v>
      </c>
      <c r="L82" s="39" t="n">
        <v>0</v>
      </c>
      <c r="M82" s="40" t="n">
        <v>1270</v>
      </c>
      <c r="N82" s="42" t="n">
        <f aca="false">((D82+E82+F82+G82)/4)*100/M82</f>
        <v>0</v>
      </c>
      <c r="O82" s="42" t="n">
        <f aca="false">((D82+E82)/3)*100/M82</f>
        <v>0</v>
      </c>
      <c r="P82" s="43" t="n">
        <f aca="false">D82*100/$M82</f>
        <v>0</v>
      </c>
      <c r="Q82" s="43" t="n">
        <f aca="false">E82*100/$M82</f>
        <v>0</v>
      </c>
      <c r="R82" s="43" t="n">
        <f aca="false">F82*100/$M82</f>
        <v>0</v>
      </c>
      <c r="S82" s="43" t="n">
        <f aca="false">G82*100/$M82</f>
        <v>0</v>
      </c>
      <c r="T82" s="30" t="s">
        <v>296</v>
      </c>
      <c r="U82" s="44"/>
      <c r="V82" s="44"/>
      <c r="W82" s="20"/>
      <c r="Y82" s="1"/>
      <c r="Z82" s="1"/>
      <c r="AA82" s="1"/>
    </row>
    <row r="83" customFormat="false" ht="12.8" hidden="false" customHeight="false" outlineLevel="0" collapsed="false">
      <c r="A83" s="20" t="s">
        <v>297</v>
      </c>
      <c r="B83" s="37" t="n">
        <v>0</v>
      </c>
      <c r="C83" s="37" t="n">
        <v>0</v>
      </c>
      <c r="D83" s="38" t="n">
        <v>0</v>
      </c>
      <c r="E83" s="38" t="n">
        <v>0</v>
      </c>
      <c r="F83" s="38" t="n">
        <v>0</v>
      </c>
      <c r="G83" s="38" t="n">
        <v>0</v>
      </c>
      <c r="H83" s="39" t="n">
        <v>0</v>
      </c>
      <c r="I83" s="39" t="n">
        <v>0</v>
      </c>
      <c r="J83" s="39" t="n">
        <v>0</v>
      </c>
      <c r="K83" s="39" t="n">
        <v>0</v>
      </c>
      <c r="L83" s="39" t="n">
        <v>7</v>
      </c>
      <c r="M83" s="40" t="n">
        <v>300</v>
      </c>
      <c r="N83" s="42" t="n">
        <f aca="false">((D83+E83+F83+G83)/4)*100/M83</f>
        <v>0</v>
      </c>
      <c r="O83" s="42" t="n">
        <f aca="false">((D83+E83)/3)*100/M83</f>
        <v>0</v>
      </c>
      <c r="P83" s="43" t="n">
        <f aca="false">D83*100/$M83</f>
        <v>0</v>
      </c>
      <c r="Q83" s="43" t="n">
        <f aca="false">E83*100/$M83</f>
        <v>0</v>
      </c>
      <c r="R83" s="43" t="n">
        <f aca="false">F83*100/$M83</f>
        <v>0</v>
      </c>
      <c r="S83" s="43" t="n">
        <f aca="false">G83*100/$M83</f>
        <v>0</v>
      </c>
      <c r="T83" s="30" t="s">
        <v>298</v>
      </c>
      <c r="U83" s="44"/>
      <c r="V83" s="44"/>
      <c r="W83" s="20"/>
      <c r="Y83" s="1"/>
      <c r="Z83" s="1"/>
      <c r="AA83" s="1"/>
    </row>
    <row r="84" customFormat="false" ht="12.8" hidden="false" customHeight="false" outlineLevel="0" collapsed="false">
      <c r="A84" s="20" t="s">
        <v>299</v>
      </c>
      <c r="B84" s="37" t="n">
        <v>0</v>
      </c>
      <c r="C84" s="37" t="n">
        <v>0</v>
      </c>
      <c r="D84" s="38" t="n">
        <v>0</v>
      </c>
      <c r="E84" s="38" t="n">
        <v>0</v>
      </c>
      <c r="F84" s="38" t="n">
        <v>0</v>
      </c>
      <c r="G84" s="38" t="n">
        <v>0</v>
      </c>
      <c r="H84" s="39" t="n">
        <v>0</v>
      </c>
      <c r="I84" s="39" t="n">
        <v>0</v>
      </c>
      <c r="J84" s="39" t="n">
        <v>0</v>
      </c>
      <c r="K84" s="39" t="n">
        <v>7</v>
      </c>
      <c r="L84" s="39" t="n">
        <v>0</v>
      </c>
      <c r="M84" s="40" t="n">
        <v>300</v>
      </c>
      <c r="N84" s="42" t="n">
        <f aca="false">((D84+E84+F84+G84)/4)*100/M84</f>
        <v>0</v>
      </c>
      <c r="O84" s="42" t="n">
        <f aca="false">((D84+E84)/3)*100/M84</f>
        <v>0</v>
      </c>
      <c r="P84" s="43" t="n">
        <f aca="false">D84*100/$M84</f>
        <v>0</v>
      </c>
      <c r="Q84" s="43" t="n">
        <f aca="false">E84*100/$M84</f>
        <v>0</v>
      </c>
      <c r="R84" s="43" t="n">
        <f aca="false">F84*100/$M84</f>
        <v>0</v>
      </c>
      <c r="S84" s="43" t="n">
        <f aca="false">G84*100/$M84</f>
        <v>0</v>
      </c>
      <c r="T84" s="30" t="s">
        <v>148</v>
      </c>
      <c r="U84" s="24"/>
      <c r="V84" s="24"/>
      <c r="W84" s="45" t="s">
        <v>180</v>
      </c>
      <c r="Y84" s="1"/>
      <c r="Z84" s="1"/>
      <c r="AA84" s="1"/>
    </row>
    <row r="85" customFormat="false" ht="12.8" hidden="false" customHeight="false" outlineLevel="0" collapsed="false">
      <c r="A85" s="20" t="s">
        <v>300</v>
      </c>
      <c r="B85" s="37" t="n">
        <v>0</v>
      </c>
      <c r="C85" s="37" t="n">
        <v>0</v>
      </c>
      <c r="D85" s="38" t="n">
        <v>0</v>
      </c>
      <c r="E85" s="38" t="n">
        <v>0</v>
      </c>
      <c r="F85" s="38" t="n">
        <v>0</v>
      </c>
      <c r="G85" s="38" t="n">
        <v>0</v>
      </c>
      <c r="H85" s="39" t="n">
        <v>0</v>
      </c>
      <c r="I85" s="39" t="n">
        <v>0</v>
      </c>
      <c r="J85" s="39" t="n">
        <v>7</v>
      </c>
      <c r="K85" s="39" t="n">
        <v>0</v>
      </c>
      <c r="L85" s="39" t="n">
        <v>0</v>
      </c>
      <c r="M85" s="40" t="n">
        <v>300</v>
      </c>
      <c r="N85" s="42" t="n">
        <f aca="false">((D85+E85+F85+G85)/4)*100/M85</f>
        <v>0</v>
      </c>
      <c r="O85" s="42" t="n">
        <f aca="false">((D85+E85)/3)*100/M85</f>
        <v>0</v>
      </c>
      <c r="P85" s="43" t="n">
        <f aca="false">D85*100/$M85</f>
        <v>0</v>
      </c>
      <c r="Q85" s="43" t="n">
        <f aca="false">E85*100/$M85</f>
        <v>0</v>
      </c>
      <c r="R85" s="43" t="n">
        <f aca="false">F85*100/$M85</f>
        <v>0</v>
      </c>
      <c r="S85" s="43" t="n">
        <f aca="false">G85*100/$M85</f>
        <v>0</v>
      </c>
      <c r="T85" s="30" t="s">
        <v>148</v>
      </c>
      <c r="U85" s="44"/>
      <c r="V85" s="44"/>
      <c r="W85" s="20"/>
      <c r="Y85" s="1"/>
      <c r="Z85" s="1"/>
      <c r="AA85" s="1"/>
    </row>
    <row r="86" customFormat="false" ht="12.8" hidden="false" customHeight="false" outlineLevel="0" collapsed="false">
      <c r="A86" s="20" t="s">
        <v>301</v>
      </c>
      <c r="B86" s="37" t="n">
        <v>0</v>
      </c>
      <c r="C86" s="37" t="n">
        <v>0</v>
      </c>
      <c r="D86" s="38" t="n">
        <v>0</v>
      </c>
      <c r="E86" s="38" t="n">
        <v>0</v>
      </c>
      <c r="F86" s="38" t="n">
        <v>0</v>
      </c>
      <c r="G86" s="38" t="n">
        <v>0</v>
      </c>
      <c r="H86" s="39" t="n">
        <v>0</v>
      </c>
      <c r="I86" s="39" t="n">
        <v>7</v>
      </c>
      <c r="J86" s="39" t="n">
        <v>0</v>
      </c>
      <c r="K86" s="39" t="n">
        <v>0</v>
      </c>
      <c r="L86" s="39" t="n">
        <v>0</v>
      </c>
      <c r="M86" s="40" t="n">
        <v>300</v>
      </c>
      <c r="N86" s="42" t="n">
        <f aca="false">((D86+E86+F86+G86)/4)*100/M86</f>
        <v>0</v>
      </c>
      <c r="O86" s="42" t="n">
        <f aca="false">((D86+E86)/3)*100/M86</f>
        <v>0</v>
      </c>
      <c r="P86" s="43" t="n">
        <f aca="false">D86*100/$M86</f>
        <v>0</v>
      </c>
      <c r="Q86" s="43" t="n">
        <f aca="false">E86*100/$M86</f>
        <v>0</v>
      </c>
      <c r="R86" s="43" t="n">
        <f aca="false">F86*100/$M86</f>
        <v>0</v>
      </c>
      <c r="S86" s="43" t="n">
        <f aca="false">G86*100/$M86</f>
        <v>0</v>
      </c>
      <c r="T86" s="30" t="s">
        <v>148</v>
      </c>
      <c r="U86" s="44"/>
      <c r="V86" s="44"/>
      <c r="W86" s="20"/>
      <c r="Y86" s="1"/>
      <c r="Z86" s="1"/>
      <c r="AA86" s="1"/>
    </row>
    <row r="87" customFormat="false" ht="12.8" hidden="false" customHeight="false" outlineLevel="0" collapsed="false">
      <c r="A87" s="20" t="s">
        <v>302</v>
      </c>
      <c r="B87" s="37" t="n">
        <v>0</v>
      </c>
      <c r="C87" s="37" t="n">
        <v>0</v>
      </c>
      <c r="D87" s="38" t="n">
        <v>0</v>
      </c>
      <c r="E87" s="38" t="n">
        <v>0</v>
      </c>
      <c r="F87" s="38" t="n">
        <v>0</v>
      </c>
      <c r="G87" s="38" t="n">
        <v>0</v>
      </c>
      <c r="H87" s="39" t="n">
        <v>7</v>
      </c>
      <c r="I87" s="39" t="n">
        <v>0</v>
      </c>
      <c r="J87" s="39" t="n">
        <v>0</v>
      </c>
      <c r="K87" s="39" t="n">
        <v>0</v>
      </c>
      <c r="L87" s="39" t="n">
        <v>0</v>
      </c>
      <c r="M87" s="40" t="n">
        <v>300</v>
      </c>
      <c r="N87" s="42" t="n">
        <f aca="false">((D87+E87+F87+G87)/4)*100/M87</f>
        <v>0</v>
      </c>
      <c r="O87" s="42" t="n">
        <f aca="false">((D87+E87)/3)*100/M87</f>
        <v>0</v>
      </c>
      <c r="P87" s="43" t="n">
        <f aca="false">D87*100/$M87</f>
        <v>0</v>
      </c>
      <c r="Q87" s="43" t="n">
        <f aca="false">E87*100/$M87</f>
        <v>0</v>
      </c>
      <c r="R87" s="43" t="n">
        <f aca="false">F87*100/$M87</f>
        <v>0</v>
      </c>
      <c r="S87" s="43" t="n">
        <f aca="false">G87*100/$M87</f>
        <v>0</v>
      </c>
      <c r="T87" s="30" t="s">
        <v>148</v>
      </c>
      <c r="U87" s="44"/>
      <c r="V87" s="44"/>
      <c r="W87" s="20"/>
      <c r="Y87" s="1"/>
      <c r="Z87" s="1"/>
      <c r="AA87" s="1"/>
    </row>
    <row r="88" customFormat="false" ht="12.8" hidden="false" customHeight="false" outlineLevel="0" collapsed="false">
      <c r="A88" s="20" t="s">
        <v>303</v>
      </c>
      <c r="B88" s="37" t="n">
        <v>0</v>
      </c>
      <c r="C88" s="37" t="n">
        <v>0</v>
      </c>
      <c r="D88" s="38" t="n">
        <v>0</v>
      </c>
      <c r="E88" s="38" t="n">
        <v>0</v>
      </c>
      <c r="F88" s="38" t="n">
        <v>0</v>
      </c>
      <c r="G88" s="38" t="n">
        <v>0</v>
      </c>
      <c r="H88" s="39" t="n">
        <v>3</v>
      </c>
      <c r="I88" s="39" t="n">
        <v>3</v>
      </c>
      <c r="J88" s="39" t="n">
        <v>3</v>
      </c>
      <c r="K88" s="39" t="n">
        <v>7</v>
      </c>
      <c r="L88" s="39" t="n">
        <v>0</v>
      </c>
      <c r="M88" s="40" t="n">
        <v>1000</v>
      </c>
      <c r="N88" s="42" t="n">
        <f aca="false">((D88+E88+F88+G88)/4)*100/M88</f>
        <v>0</v>
      </c>
      <c r="O88" s="42" t="n">
        <f aca="false">((D88+E88)/3)*100/M88</f>
        <v>0</v>
      </c>
      <c r="P88" s="43" t="n">
        <f aca="false">D88*100/$M88</f>
        <v>0</v>
      </c>
      <c r="Q88" s="43" t="n">
        <f aca="false">E88*100/$M88</f>
        <v>0</v>
      </c>
      <c r="R88" s="43" t="n">
        <f aca="false">F88*100/$M88</f>
        <v>0</v>
      </c>
      <c r="S88" s="43" t="n">
        <f aca="false">G88*100/$M88</f>
        <v>0</v>
      </c>
      <c r="T88" s="30" t="s">
        <v>298</v>
      </c>
      <c r="U88" s="44"/>
      <c r="V88" s="44"/>
      <c r="W88" s="20"/>
      <c r="Y88" s="1"/>
      <c r="Z88" s="1"/>
      <c r="AA88" s="1"/>
    </row>
    <row r="89" customFormat="false" ht="12.8" hidden="false" customHeight="false" outlineLevel="0" collapsed="false">
      <c r="A89" s="20"/>
      <c r="B89" s="37"/>
      <c r="C89" s="37"/>
      <c r="D89" s="38"/>
      <c r="E89" s="38"/>
      <c r="F89" s="38"/>
      <c r="G89" s="38"/>
      <c r="H89" s="39"/>
      <c r="I89" s="39"/>
      <c r="J89" s="39"/>
      <c r="K89" s="39"/>
      <c r="L89" s="39"/>
      <c r="M89" s="40"/>
      <c r="N89" s="42" t="e">
        <f aca="false">((D89+E89+F89+G89)/4)*100/M89</f>
        <v>#DIV/0!</v>
      </c>
      <c r="O89" s="42" t="e">
        <f aca="false">((D89+E89)/3)*100/M89</f>
        <v>#DIV/0!</v>
      </c>
      <c r="P89" s="43" t="e">
        <f aca="false">D89*100/$M89</f>
        <v>#DIV/0!</v>
      </c>
      <c r="Q89" s="43" t="e">
        <f aca="false">E89*100/$M89</f>
        <v>#DIV/0!</v>
      </c>
      <c r="R89" s="43" t="e">
        <f aca="false">F89*100/$M89</f>
        <v>#DIV/0!</v>
      </c>
      <c r="S89" s="43" t="e">
        <f aca="false">G89*100/$M89</f>
        <v>#DIV/0!</v>
      </c>
      <c r="T89" s="30"/>
      <c r="U89" s="44"/>
      <c r="V89" s="44"/>
      <c r="W89" s="20"/>
      <c r="Y89" s="1"/>
      <c r="Z89" s="1"/>
      <c r="AA89" s="1"/>
    </row>
    <row r="90" customFormat="false" ht="12.8" hidden="false" customHeight="false" outlineLevel="0" collapsed="false">
      <c r="A90" s="20"/>
      <c r="B90" s="37"/>
      <c r="C90" s="37"/>
      <c r="D90" s="38"/>
      <c r="E90" s="38"/>
      <c r="F90" s="38"/>
      <c r="G90" s="38"/>
      <c r="H90" s="39"/>
      <c r="I90" s="39"/>
      <c r="J90" s="39"/>
      <c r="K90" s="39"/>
      <c r="L90" s="39"/>
      <c r="M90" s="40"/>
      <c r="N90" s="42" t="e">
        <f aca="false">((D90+E90+F90+G90)/4)*100/M90</f>
        <v>#DIV/0!</v>
      </c>
      <c r="O90" s="42" t="e">
        <f aca="false">((D90+E90)/3)*100/M90</f>
        <v>#DIV/0!</v>
      </c>
      <c r="P90" s="43" t="e">
        <f aca="false">D90*100/$M90</f>
        <v>#DIV/0!</v>
      </c>
      <c r="Q90" s="43" t="e">
        <f aca="false">E90*100/$M90</f>
        <v>#DIV/0!</v>
      </c>
      <c r="R90" s="43" t="e">
        <f aca="false">F90*100/$M90</f>
        <v>#DIV/0!</v>
      </c>
      <c r="S90" s="43" t="e">
        <f aca="false">G90*100/$M90</f>
        <v>#DIV/0!</v>
      </c>
      <c r="T90" s="30"/>
      <c r="U90" s="44"/>
      <c r="V90" s="44"/>
      <c r="W90" s="20"/>
      <c r="Y90" s="1"/>
      <c r="Z90" s="1"/>
      <c r="AA90" s="1"/>
    </row>
    <row r="91" customFormat="false" ht="12.8" hidden="false" customHeight="false" outlineLevel="0" collapsed="false">
      <c r="A91" s="20"/>
      <c r="B91" s="37"/>
      <c r="C91" s="37"/>
      <c r="D91" s="38"/>
      <c r="E91" s="38"/>
      <c r="F91" s="38"/>
      <c r="G91" s="38"/>
      <c r="H91" s="39"/>
      <c r="I91" s="39"/>
      <c r="J91" s="39"/>
      <c r="K91" s="39"/>
      <c r="L91" s="39"/>
      <c r="M91" s="40"/>
      <c r="N91" s="42" t="e">
        <f aca="false">((D91+E91+F91+G91)/4)*100/M91</f>
        <v>#DIV/0!</v>
      </c>
      <c r="O91" s="42" t="e">
        <f aca="false">((D91+E91)/3)*100/M91</f>
        <v>#DIV/0!</v>
      </c>
      <c r="P91" s="43" t="e">
        <f aca="false">D91*100/$M91</f>
        <v>#DIV/0!</v>
      </c>
      <c r="Q91" s="43" t="e">
        <f aca="false">E91*100/$M91</f>
        <v>#DIV/0!</v>
      </c>
      <c r="R91" s="43" t="e">
        <f aca="false">F91*100/$M91</f>
        <v>#DIV/0!</v>
      </c>
      <c r="S91" s="43" t="e">
        <f aca="false">G91*100/$M91</f>
        <v>#DIV/0!</v>
      </c>
      <c r="T91" s="30"/>
      <c r="U91" s="44"/>
      <c r="V91" s="44"/>
      <c r="W91" s="20"/>
      <c r="Y91" s="1"/>
      <c r="Z91" s="1"/>
      <c r="AA91" s="1"/>
    </row>
    <row r="92" customFormat="false" ht="12.8" hidden="false" customHeight="false" outlineLevel="0" collapsed="false">
      <c r="A92" s="20"/>
      <c r="B92" s="37"/>
      <c r="C92" s="37"/>
      <c r="D92" s="38"/>
      <c r="E92" s="38"/>
      <c r="F92" s="38"/>
      <c r="G92" s="38"/>
      <c r="H92" s="39"/>
      <c r="I92" s="39"/>
      <c r="J92" s="39"/>
      <c r="K92" s="39"/>
      <c r="L92" s="39"/>
      <c r="M92" s="40"/>
      <c r="N92" s="42" t="e">
        <f aca="false">((D92+E92+F92+G92)/4)*100/M92</f>
        <v>#DIV/0!</v>
      </c>
      <c r="O92" s="42" t="e">
        <f aca="false">((D92+E92)/3)*100/M92</f>
        <v>#DIV/0!</v>
      </c>
      <c r="P92" s="43" t="e">
        <f aca="false">D92*100/$M92</f>
        <v>#DIV/0!</v>
      </c>
      <c r="Q92" s="43" t="e">
        <f aca="false">E92*100/$M92</f>
        <v>#DIV/0!</v>
      </c>
      <c r="R92" s="43" t="e">
        <f aca="false">F92*100/$M92</f>
        <v>#DIV/0!</v>
      </c>
      <c r="S92" s="43" t="e">
        <f aca="false">G92*100/$M92</f>
        <v>#DIV/0!</v>
      </c>
      <c r="T92" s="30"/>
      <c r="U92" s="44"/>
      <c r="V92" s="44"/>
      <c r="W92" s="20"/>
      <c r="Y92" s="1"/>
      <c r="Z92" s="1"/>
      <c r="AA92" s="1"/>
    </row>
    <row r="93" customFormat="false" ht="12.8" hidden="false" customHeight="false" outlineLevel="0" collapsed="false">
      <c r="A93" s="20"/>
      <c r="B93" s="37"/>
      <c r="C93" s="37"/>
      <c r="D93" s="38"/>
      <c r="E93" s="38"/>
      <c r="F93" s="38"/>
      <c r="G93" s="38"/>
      <c r="H93" s="39"/>
      <c r="I93" s="39"/>
      <c r="J93" s="39"/>
      <c r="K93" s="39"/>
      <c r="L93" s="39"/>
      <c r="M93" s="40"/>
      <c r="N93" s="42" t="e">
        <f aca="false">((D93+E93+F93+G93)/4)*100/M93</f>
        <v>#DIV/0!</v>
      </c>
      <c r="O93" s="42" t="e">
        <f aca="false">((D93+E93)/3)*100/M93</f>
        <v>#DIV/0!</v>
      </c>
      <c r="P93" s="43" t="e">
        <f aca="false">D93*100/$M93</f>
        <v>#DIV/0!</v>
      </c>
      <c r="Q93" s="43" t="e">
        <f aca="false">E93*100/$M93</f>
        <v>#DIV/0!</v>
      </c>
      <c r="R93" s="43" t="e">
        <f aca="false">F93*100/$M93</f>
        <v>#DIV/0!</v>
      </c>
      <c r="S93" s="43" t="e">
        <f aca="false">G93*100/$M93</f>
        <v>#DIV/0!</v>
      </c>
      <c r="T93" s="30"/>
      <c r="U93" s="44"/>
      <c r="V93" s="44"/>
      <c r="W93" s="20"/>
      <c r="Y93" s="1"/>
      <c r="Z93" s="1"/>
      <c r="AA93" s="1"/>
    </row>
    <row r="94" customFormat="false" ht="12.8" hidden="false" customHeight="false" outlineLevel="0" collapsed="false">
      <c r="A94" s="20" t="s">
        <v>304</v>
      </c>
      <c r="B94" s="37" t="n">
        <v>0</v>
      </c>
      <c r="C94" s="37" t="n">
        <v>0</v>
      </c>
      <c r="D94" s="38" t="n">
        <v>0</v>
      </c>
      <c r="E94" s="38" t="n">
        <v>0</v>
      </c>
      <c r="F94" s="38" t="n">
        <v>0</v>
      </c>
      <c r="G94" s="38" t="n">
        <v>0</v>
      </c>
      <c r="H94" s="39" t="n">
        <v>0</v>
      </c>
      <c r="I94" s="39" t="n">
        <v>0</v>
      </c>
      <c r="J94" s="39" t="n">
        <v>0</v>
      </c>
      <c r="K94" s="39" t="n">
        <v>0</v>
      </c>
      <c r="L94" s="39" t="n">
        <v>0</v>
      </c>
      <c r="M94" s="40" t="n">
        <v>0</v>
      </c>
      <c r="N94" s="42" t="e">
        <f aca="false">((D94+E94+F94+G94)/4)*100/M94</f>
        <v>#DIV/0!</v>
      </c>
      <c r="O94" s="42" t="e">
        <f aca="false">((D94+E94)/3)*100/M94</f>
        <v>#DIV/0!</v>
      </c>
      <c r="P94" s="43" t="e">
        <f aca="false">D94*100/$M94</f>
        <v>#DIV/0!</v>
      </c>
      <c r="Q94" s="43" t="e">
        <f aca="false">E94*100/$M94</f>
        <v>#DIV/0!</v>
      </c>
      <c r="R94" s="43" t="e">
        <f aca="false">F94*100/$M94</f>
        <v>#DIV/0!</v>
      </c>
      <c r="S94" s="43" t="e">
        <f aca="false">G94*100/$M94</f>
        <v>#DIV/0!</v>
      </c>
      <c r="T94" s="30" t="s">
        <v>148</v>
      </c>
      <c r="U94" s="44"/>
      <c r="V94" s="44"/>
      <c r="W94" s="20"/>
      <c r="Y94" s="1"/>
      <c r="Z94" s="1"/>
      <c r="AA94" s="1"/>
    </row>
    <row r="95" customFormat="false" ht="12.8" hidden="false" customHeight="false" outlineLevel="0" collapsed="false">
      <c r="A95" s="20" t="s">
        <v>148</v>
      </c>
      <c r="B95" s="37" t="n">
        <v>0</v>
      </c>
      <c r="C95" s="37" t="n">
        <v>0</v>
      </c>
      <c r="D95" s="38" t="n">
        <v>0</v>
      </c>
      <c r="E95" s="38" t="n">
        <v>0</v>
      </c>
      <c r="F95" s="38" t="n">
        <v>0</v>
      </c>
      <c r="G95" s="38" t="n">
        <v>0</v>
      </c>
      <c r="H95" s="39" t="n">
        <v>0</v>
      </c>
      <c r="I95" s="39" t="n">
        <v>0</v>
      </c>
      <c r="J95" s="39" t="n">
        <v>0</v>
      </c>
      <c r="K95" s="39" t="n">
        <v>0</v>
      </c>
      <c r="L95" s="39" t="n">
        <v>0</v>
      </c>
      <c r="M95" s="40" t="n">
        <v>0</v>
      </c>
      <c r="N95" s="42" t="e">
        <f aca="false">((D95+E95+F95+G95)/4)*100/M95</f>
        <v>#DIV/0!</v>
      </c>
      <c r="O95" s="42" t="e">
        <f aca="false">((D95+E95)/3)*100/M95</f>
        <v>#DIV/0!</v>
      </c>
      <c r="P95" s="43" t="e">
        <f aca="false">D95*100/$M95</f>
        <v>#DIV/0!</v>
      </c>
      <c r="Q95" s="43" t="e">
        <f aca="false">E95*100/$M95</f>
        <v>#DIV/0!</v>
      </c>
      <c r="R95" s="43" t="e">
        <f aca="false">F95*100/$M95</f>
        <v>#DIV/0!</v>
      </c>
      <c r="S95" s="43" t="e">
        <f aca="false">G95*100/$M95</f>
        <v>#DIV/0!</v>
      </c>
      <c r="T95" s="30" t="s">
        <v>148</v>
      </c>
      <c r="U95" s="44"/>
      <c r="V95" s="44"/>
      <c r="W95" s="20"/>
      <c r="Y95" s="1"/>
      <c r="Z95" s="1"/>
      <c r="AA95" s="1"/>
    </row>
    <row r="96" customFormat="false" ht="12.8" hidden="false" customHeight="false" outlineLevel="0" collapsed="false">
      <c r="Y96" s="1"/>
      <c r="Z96" s="1"/>
      <c r="AA96" s="1"/>
    </row>
    <row r="97" customFormat="false" ht="12.8" hidden="false" customHeight="false" outlineLevel="0" collapsed="false">
      <c r="A97" s="51" t="s">
        <v>305</v>
      </c>
      <c r="B97" s="52"/>
      <c r="C97" s="52"/>
      <c r="D97" s="52" t="s">
        <v>118</v>
      </c>
      <c r="E97" s="52" t="s">
        <v>160</v>
      </c>
      <c r="F97" s="52" t="s">
        <v>306</v>
      </c>
      <c r="G97" s="52" t="s">
        <v>307</v>
      </c>
      <c r="H97" s="52" t="s">
        <v>163</v>
      </c>
      <c r="I97" s="52" t="s">
        <v>164</v>
      </c>
      <c r="J97" s="52" t="s">
        <v>165</v>
      </c>
      <c r="K97" s="52" t="s">
        <v>166</v>
      </c>
      <c r="L97" s="52" t="s">
        <v>167</v>
      </c>
      <c r="M97" s="53"/>
      <c r="N97" s="53"/>
      <c r="O97" s="54"/>
      <c r="P97" s="53"/>
      <c r="Q97" s="53"/>
      <c r="R97" s="53"/>
      <c r="S97" s="53"/>
      <c r="T97" s="53"/>
      <c r="Y97" s="1"/>
      <c r="Z97" s="1"/>
      <c r="AA97" s="1"/>
    </row>
    <row r="98" customFormat="false" ht="12.8" hidden="false" customHeight="false" outlineLevel="0" collapsed="false">
      <c r="A98" s="55" t="s">
        <v>308</v>
      </c>
      <c r="B98" s="55"/>
      <c r="C98" s="55"/>
      <c r="D98" s="56" t="n">
        <f aca="false">VLOOKUP($A98,BD_Armas,16,0)</f>
        <v>422.5</v>
      </c>
      <c r="E98" s="56" t="n">
        <f aca="false">VLOOKUP($A98,BD_Armas,17,0)</f>
        <v>71.5</v>
      </c>
      <c r="F98" s="56" t="n">
        <f aca="false">VLOOKUP($A98,BD_Armas,18,0)</f>
        <v>410.8</v>
      </c>
      <c r="G98" s="56" t="n">
        <f aca="false">VLOOKUP($A98,BD_Armas,19,0)</f>
        <v>447.2</v>
      </c>
      <c r="H98" s="28" t="n">
        <f aca="false">VLOOKUP($A98,BD_Armas,8,0)</f>
        <v>0</v>
      </c>
      <c r="I98" s="28" t="n">
        <f aca="false">VLOOKUP($A98,BD_Armas,9,0)</f>
        <v>20.8</v>
      </c>
      <c r="J98" s="28" t="n">
        <f aca="false">VLOOKUP($A98,BD_Armas,10,0)</f>
        <v>0</v>
      </c>
      <c r="K98" s="28" t="n">
        <f aca="false">VLOOKUP($A98,BD_Armas,11,0)</f>
        <v>0</v>
      </c>
      <c r="L98" s="28" t="n">
        <f aca="false">VLOOKUP($A98,BD_Armas,12,0)</f>
        <v>0</v>
      </c>
      <c r="M98" s="57"/>
      <c r="N98" s="57"/>
      <c r="O98" s="57"/>
      <c r="P98" s="57"/>
      <c r="Q98" s="57"/>
      <c r="R98" s="57"/>
      <c r="S98" s="57"/>
      <c r="Y98" s="1"/>
      <c r="Z98" s="1"/>
      <c r="AA98" s="1"/>
    </row>
    <row r="99" customFormat="false" ht="12.8" hidden="false" customHeight="false" outlineLevel="0" collapsed="false">
      <c r="A99" s="55" t="s">
        <v>309</v>
      </c>
      <c r="B99" s="55"/>
      <c r="C99" s="55"/>
      <c r="D99" s="56" t="n">
        <f aca="false">VLOOKUP($A99,BD_Armas,16,0)</f>
        <v>416</v>
      </c>
      <c r="E99" s="56" t="n">
        <f aca="false">VLOOKUP($A99,BD_Armas,17,0)</f>
        <v>117</v>
      </c>
      <c r="F99" s="56" t="n">
        <f aca="false">VLOOKUP($A99,BD_Armas,18,0)</f>
        <v>409.5</v>
      </c>
      <c r="G99" s="56" t="n">
        <f aca="false">VLOOKUP($A99,BD_Armas,19,0)</f>
        <v>412.1</v>
      </c>
      <c r="H99" s="28" t="n">
        <f aca="false">VLOOKUP($A99,BD_Armas,8,0)</f>
        <v>33</v>
      </c>
      <c r="I99" s="28" t="n">
        <f aca="false">VLOOKUP($A99,BD_Armas,9,0)</f>
        <v>0</v>
      </c>
      <c r="J99" s="28" t="n">
        <f aca="false">VLOOKUP($A99,BD_Armas,10,0)</f>
        <v>33</v>
      </c>
      <c r="K99" s="28" t="n">
        <f aca="false">VLOOKUP($A99,BD_Armas,11,0)</f>
        <v>0</v>
      </c>
      <c r="L99" s="28" t="n">
        <f aca="false">VLOOKUP($A99,BD_Armas,12,0)</f>
        <v>0</v>
      </c>
      <c r="M99" s="57"/>
      <c r="N99" s="57"/>
      <c r="O99" s="57"/>
      <c r="P99" s="57"/>
      <c r="Q99" s="57"/>
      <c r="R99" s="57"/>
      <c r="S99" s="57"/>
      <c r="Y99" s="1"/>
      <c r="Z99" s="1"/>
      <c r="AA99" s="1"/>
    </row>
    <row r="100" customFormat="false" ht="12.8" hidden="false" customHeight="false" outlineLevel="0" collapsed="false">
      <c r="A100" s="55" t="s">
        <v>310</v>
      </c>
      <c r="B100" s="55"/>
      <c r="C100" s="55"/>
      <c r="D100" s="56" t="n">
        <f aca="false">VLOOKUP($A100,BD_Armas,16,0)</f>
        <v>698.1</v>
      </c>
      <c r="E100" s="56" t="n">
        <f aca="false">VLOOKUP($A100,BD_Armas,17,0)</f>
        <v>93.6</v>
      </c>
      <c r="F100" s="56" t="n">
        <f aca="false">VLOOKUP($A100,BD_Armas,18,0)</f>
        <v>-7.8</v>
      </c>
      <c r="G100" s="56" t="n">
        <f aca="false">VLOOKUP($A100,BD_Armas,19,0)</f>
        <v>5.2</v>
      </c>
      <c r="H100" s="28" t="n">
        <f aca="false">VLOOKUP($A100,BD_Armas,8,0)</f>
        <v>0</v>
      </c>
      <c r="I100" s="28" t="n">
        <f aca="false">VLOOKUP($A100,BD_Armas,9,0)</f>
        <v>0</v>
      </c>
      <c r="J100" s="28" t="n">
        <f aca="false">VLOOKUP($A100,BD_Armas,10,0)</f>
        <v>0</v>
      </c>
      <c r="K100" s="28" t="n">
        <f aca="false">VLOOKUP($A100,BD_Armas,11,0)</f>
        <v>7.8</v>
      </c>
      <c r="L100" s="28" t="n">
        <f aca="false">VLOOKUP($A100,BD_Armas,12,0)</f>
        <v>0</v>
      </c>
      <c r="M100" s="58"/>
      <c r="N100" s="57"/>
      <c r="O100" s="57"/>
      <c r="P100" s="57"/>
      <c r="Q100" s="57"/>
      <c r="R100" s="57"/>
      <c r="S100" s="57"/>
      <c r="Y100" s="1"/>
      <c r="Z100" s="1"/>
      <c r="AA100" s="1"/>
    </row>
    <row r="101" customFormat="false" ht="12.8" hidden="false" customHeight="false" outlineLevel="0" collapsed="false">
      <c r="A101" s="55" t="s">
        <v>311</v>
      </c>
      <c r="B101" s="55"/>
      <c r="C101" s="55"/>
      <c r="D101" s="56" t="n">
        <f aca="false">VLOOKUP($A101,BD_Armas,16,0)</f>
        <v>136.5</v>
      </c>
      <c r="E101" s="56" t="n">
        <f aca="false">VLOOKUP($A101,BD_Armas,17,0)</f>
        <v>473.2</v>
      </c>
      <c r="F101" s="56" t="n">
        <f aca="false">VLOOKUP($A101,BD_Armas,18,0)</f>
        <v>136.5</v>
      </c>
      <c r="G101" s="56" t="n">
        <f aca="false">VLOOKUP($A101,BD_Armas,19,0)</f>
        <v>136.5</v>
      </c>
      <c r="H101" s="28" t="n">
        <f aca="false">VLOOKUP($A101,BD_Armas,8,0)</f>
        <v>69.6</v>
      </c>
      <c r="I101" s="28" t="n">
        <f aca="false">VLOOKUP($A101,BD_Armas,9,0)</f>
        <v>81.3</v>
      </c>
      <c r="J101" s="28" t="n">
        <f aca="false">VLOOKUP($A101,BD_Armas,10,0)</f>
        <v>69.6</v>
      </c>
      <c r="K101" s="28" t="n">
        <f aca="false">VLOOKUP($A101,BD_Armas,11,0)</f>
        <v>93</v>
      </c>
      <c r="L101" s="28" t="n">
        <f aca="false">VLOOKUP($A101,BD_Armas,12,0)</f>
        <v>102.1</v>
      </c>
      <c r="M101" s="58"/>
      <c r="N101" s="57"/>
      <c r="O101" s="57"/>
      <c r="P101" s="57"/>
      <c r="Q101" s="57"/>
      <c r="R101" s="57"/>
      <c r="S101" s="57"/>
      <c r="Y101" s="1"/>
      <c r="Z101" s="1"/>
      <c r="AA101" s="1"/>
    </row>
    <row r="102" customFormat="false" ht="12.8" hidden="false" customHeight="false" outlineLevel="0" collapsed="false">
      <c r="A102" s="59"/>
      <c r="B102" s="59"/>
      <c r="C102" s="59"/>
      <c r="D102" s="59" t="n">
        <f aca="false">D98+D99+D100+D101</f>
        <v>1673.1</v>
      </c>
      <c r="E102" s="59" t="n">
        <f aca="false">E98+E99+E100+E101</f>
        <v>755.3</v>
      </c>
      <c r="F102" s="59" t="n">
        <f aca="false">F98+F99+F100+F101</f>
        <v>949</v>
      </c>
      <c r="G102" s="59" t="n">
        <f aca="false">G98+G99+G100+G101</f>
        <v>1001</v>
      </c>
      <c r="H102" s="59" t="n">
        <f aca="false">H98+H99+H100+H101</f>
        <v>102.6</v>
      </c>
      <c r="I102" s="59" t="n">
        <f aca="false">I98+I99+I100+I101</f>
        <v>102.1</v>
      </c>
      <c r="J102" s="59" t="n">
        <f aca="false">J98+J99+J100+J101</f>
        <v>102.6</v>
      </c>
      <c r="K102" s="59" t="n">
        <f aca="false">K98+K99+K100+K101</f>
        <v>100.8</v>
      </c>
      <c r="L102" s="59" t="n">
        <f aca="false">L98+L99+L100+L101</f>
        <v>102.1</v>
      </c>
      <c r="M102" s="58" t="n">
        <f aca="false">(D102+E102+F102+G102)/4</f>
        <v>1094.6</v>
      </c>
      <c r="N102" s="58" t="n">
        <f aca="false">(D102+E102)/2</f>
        <v>1214.2</v>
      </c>
      <c r="O102" s="57"/>
      <c r="P102" s="57"/>
      <c r="Q102" s="57"/>
      <c r="R102" s="57"/>
      <c r="S102" s="57"/>
      <c r="Y102" s="1"/>
      <c r="Z102" s="1"/>
      <c r="AA102" s="1"/>
    </row>
    <row r="103" customFormat="false" ht="12.8" hidden="false" customHeight="false" outlineLevel="0" collapsed="false">
      <c r="M103" s="60"/>
      <c r="Y103" s="1"/>
      <c r="Z103" s="1"/>
      <c r="AA103" s="1"/>
    </row>
    <row r="104" customFormat="false" ht="12.8" hidden="false" customHeight="false" outlineLevel="0" collapsed="false">
      <c r="A104" s="51" t="s">
        <v>312</v>
      </c>
      <c r="B104" s="52"/>
      <c r="C104" s="52"/>
      <c r="D104" s="52" t="s">
        <v>118</v>
      </c>
      <c r="E104" s="52" t="s">
        <v>160</v>
      </c>
      <c r="F104" s="52" t="s">
        <v>306</v>
      </c>
      <c r="G104" s="52" t="s">
        <v>307</v>
      </c>
      <c r="H104" s="52" t="s">
        <v>163</v>
      </c>
      <c r="I104" s="52" t="s">
        <v>164</v>
      </c>
      <c r="J104" s="52" t="s">
        <v>165</v>
      </c>
      <c r="K104" s="52" t="s">
        <v>166</v>
      </c>
      <c r="L104" s="52" t="s">
        <v>167</v>
      </c>
      <c r="M104" s="61"/>
      <c r="N104" s="53"/>
      <c r="O104" s="54"/>
      <c r="P104" s="53"/>
      <c r="Q104" s="53"/>
      <c r="R104" s="53"/>
      <c r="S104" s="53"/>
      <c r="Y104" s="1"/>
      <c r="Z104" s="1"/>
      <c r="AA104" s="1"/>
    </row>
    <row r="105" customFormat="false" ht="12.8" hidden="false" customHeight="false" outlineLevel="0" collapsed="false">
      <c r="A105" s="55" t="s">
        <v>313</v>
      </c>
      <c r="B105" s="55"/>
      <c r="C105" s="55"/>
      <c r="D105" s="56" t="n">
        <f aca="false">VLOOKUP($A105,BD_Armas,16,0)</f>
        <v>596.7</v>
      </c>
      <c r="E105" s="56" t="n">
        <f aca="false">VLOOKUP($A105,BD_Armas,17,0)</f>
        <v>375.7</v>
      </c>
      <c r="F105" s="56" t="n">
        <f aca="false">VLOOKUP($A105,BD_Armas,18,0)</f>
        <v>-110.5</v>
      </c>
      <c r="G105" s="56" t="n">
        <f aca="false">VLOOKUP($A105,BD_Armas,19,0)</f>
        <v>-49.4</v>
      </c>
      <c r="H105" s="28" t="n">
        <f aca="false">VLOOKUP($A105,BD_Armas,8,0)</f>
        <v>0</v>
      </c>
      <c r="I105" s="28" t="n">
        <f aca="false">VLOOKUP($A105,BD_Armas,9,0)</f>
        <v>0</v>
      </c>
      <c r="J105" s="28" t="n">
        <f aca="false">VLOOKUP($A105,BD_Armas,10,0)</f>
        <v>0</v>
      </c>
      <c r="K105" s="28" t="n">
        <f aca="false">VLOOKUP($A105,BD_Armas,11,0)</f>
        <v>0</v>
      </c>
      <c r="L105" s="28" t="n">
        <f aca="false">VLOOKUP($A105,BD_Armas,12,0)</f>
        <v>0</v>
      </c>
      <c r="M105" s="58"/>
      <c r="N105" s="57"/>
      <c r="O105" s="57"/>
      <c r="P105" s="57"/>
      <c r="Q105" s="57"/>
      <c r="R105" s="57"/>
      <c r="S105" s="57"/>
      <c r="Y105" s="1"/>
      <c r="Z105" s="1"/>
      <c r="AA105" s="1"/>
    </row>
    <row r="106" customFormat="false" ht="12.8" hidden="false" customHeight="false" outlineLevel="0" collapsed="false">
      <c r="A106" s="55" t="s">
        <v>314</v>
      </c>
      <c r="B106" s="55"/>
      <c r="C106" s="55"/>
      <c r="D106" s="56" t="n">
        <f aca="false">VLOOKUP($A106,BD_Armas,16,0)</f>
        <v>608.4</v>
      </c>
      <c r="E106" s="56" t="n">
        <f aca="false">VLOOKUP($A106,BD_Armas,17,0)</f>
        <v>478.4</v>
      </c>
      <c r="F106" s="56" t="n">
        <f aca="false">VLOOKUP($A106,BD_Armas,18,0)</f>
        <v>-150.8</v>
      </c>
      <c r="G106" s="56" t="n">
        <f aca="false">VLOOKUP($A106,BD_Armas,19,0)</f>
        <v>-150.8</v>
      </c>
      <c r="H106" s="28" t="n">
        <f aca="false">VLOOKUP($A106,BD_Armas,8,0)</f>
        <v>36.4</v>
      </c>
      <c r="I106" s="28" t="n">
        <f aca="false">VLOOKUP($A106,BD_Armas,9,0)</f>
        <v>27.3</v>
      </c>
      <c r="J106" s="28" t="n">
        <f aca="false">VLOOKUP($A106,BD_Armas,10,0)</f>
        <v>36.4</v>
      </c>
      <c r="K106" s="28" t="n">
        <f aca="false">VLOOKUP($A106,BD_Armas,11,0)</f>
        <v>0</v>
      </c>
      <c r="L106" s="28" t="n">
        <f aca="false">VLOOKUP($A106,BD_Armas,12,0)</f>
        <v>0</v>
      </c>
      <c r="M106" s="58"/>
      <c r="N106" s="57"/>
      <c r="O106" s="57"/>
      <c r="P106" s="57"/>
      <c r="Q106" s="57"/>
      <c r="R106" s="57"/>
      <c r="S106" s="57"/>
      <c r="Y106" s="1"/>
      <c r="Z106" s="1"/>
      <c r="AA106" s="1"/>
    </row>
    <row r="107" customFormat="false" ht="12.8" hidden="false" customHeight="false" outlineLevel="0" collapsed="false">
      <c r="A107" s="55" t="s">
        <v>310</v>
      </c>
      <c r="B107" s="55"/>
      <c r="C107" s="55"/>
      <c r="D107" s="56" t="n">
        <f aca="false">VLOOKUP($A107,BD_Armas,16,0)</f>
        <v>698.1</v>
      </c>
      <c r="E107" s="56" t="n">
        <f aca="false">VLOOKUP($A107,BD_Armas,17,0)</f>
        <v>93.6</v>
      </c>
      <c r="F107" s="56" t="n">
        <f aca="false">VLOOKUP($A107,BD_Armas,18,0)</f>
        <v>-7.8</v>
      </c>
      <c r="G107" s="56" t="n">
        <f aca="false">VLOOKUP($A107,BD_Armas,19,0)</f>
        <v>5.2</v>
      </c>
      <c r="H107" s="28" t="n">
        <f aca="false">VLOOKUP($A107,BD_Armas,8,0)</f>
        <v>0</v>
      </c>
      <c r="I107" s="28" t="n">
        <f aca="false">VLOOKUP($A107,BD_Armas,9,0)</f>
        <v>0</v>
      </c>
      <c r="J107" s="28" t="n">
        <f aca="false">VLOOKUP($A107,BD_Armas,10,0)</f>
        <v>0</v>
      </c>
      <c r="K107" s="28" t="n">
        <f aca="false">VLOOKUP($A107,BD_Armas,11,0)</f>
        <v>7.8</v>
      </c>
      <c r="L107" s="28" t="n">
        <f aca="false">VLOOKUP($A107,BD_Armas,12,0)</f>
        <v>0</v>
      </c>
      <c r="M107" s="58"/>
      <c r="N107" s="57"/>
      <c r="O107" s="57"/>
      <c r="P107" s="57"/>
      <c r="Q107" s="57"/>
      <c r="R107" s="57"/>
      <c r="S107" s="57"/>
      <c r="Y107" s="1"/>
      <c r="Z107" s="1"/>
      <c r="AA107" s="1"/>
    </row>
    <row r="108" customFormat="false" ht="12.8" hidden="false" customHeight="false" outlineLevel="0" collapsed="false">
      <c r="A108" s="55" t="s">
        <v>311</v>
      </c>
      <c r="B108" s="55"/>
      <c r="C108" s="55"/>
      <c r="D108" s="56" t="n">
        <f aca="false">VLOOKUP($A108,BD_Armas,16,0)</f>
        <v>136.5</v>
      </c>
      <c r="E108" s="56" t="n">
        <f aca="false">VLOOKUP($A108,BD_Armas,17,0)</f>
        <v>473.2</v>
      </c>
      <c r="F108" s="56" t="n">
        <f aca="false">VLOOKUP($A108,BD_Armas,18,0)</f>
        <v>136.5</v>
      </c>
      <c r="G108" s="56" t="n">
        <f aca="false">VLOOKUP($A108,BD_Armas,19,0)</f>
        <v>136.5</v>
      </c>
      <c r="H108" s="28" t="n">
        <f aca="false">VLOOKUP($A108,BD_Armas,8,0)</f>
        <v>69.6</v>
      </c>
      <c r="I108" s="28" t="n">
        <f aca="false">VLOOKUP($A108,BD_Armas,9,0)</f>
        <v>81.3</v>
      </c>
      <c r="J108" s="28" t="n">
        <f aca="false">VLOOKUP($A108,BD_Armas,10,0)</f>
        <v>69.6</v>
      </c>
      <c r="K108" s="28" t="n">
        <f aca="false">VLOOKUP($A108,BD_Armas,11,0)</f>
        <v>93</v>
      </c>
      <c r="L108" s="28" t="n">
        <f aca="false">VLOOKUP($A108,BD_Armas,12,0)</f>
        <v>102.1</v>
      </c>
      <c r="M108" s="58"/>
      <c r="N108" s="57"/>
      <c r="O108" s="57"/>
      <c r="P108" s="57"/>
      <c r="Q108" s="57"/>
      <c r="R108" s="57"/>
      <c r="S108" s="57"/>
      <c r="Y108" s="1"/>
      <c r="Z108" s="1"/>
      <c r="AA108" s="1"/>
    </row>
    <row r="109" customFormat="false" ht="12.8" hidden="false" customHeight="false" outlineLevel="0" collapsed="false">
      <c r="A109" s="59"/>
      <c r="B109" s="59"/>
      <c r="C109" s="59"/>
      <c r="D109" s="59" t="n">
        <f aca="false">D105+D106+D107+D108</f>
        <v>2039.7</v>
      </c>
      <c r="E109" s="59" t="n">
        <f aca="false">E105+E106+E107+E108</f>
        <v>1420.9</v>
      </c>
      <c r="F109" s="59" t="n">
        <f aca="false">F105+F106+F107+F108</f>
        <v>-132.6</v>
      </c>
      <c r="G109" s="59" t="n">
        <f aca="false">G105+G106+G107+G108</f>
        <v>-58.5</v>
      </c>
      <c r="H109" s="59" t="n">
        <f aca="false">H105+H106+H107+H108</f>
        <v>106</v>
      </c>
      <c r="I109" s="59" t="n">
        <f aca="false">I105+I106+I107+I108</f>
        <v>108.6</v>
      </c>
      <c r="J109" s="59" t="n">
        <f aca="false">J105+J106+J107+J108</f>
        <v>106</v>
      </c>
      <c r="K109" s="59" t="n">
        <f aca="false">K105+K106+K107+K108</f>
        <v>100.8</v>
      </c>
      <c r="L109" s="59" t="n">
        <f aca="false">L105+L106+L107+L108</f>
        <v>102.1</v>
      </c>
      <c r="M109" s="58" t="n">
        <f aca="false">(D109+E109+F109+G109)/4</f>
        <v>817.375</v>
      </c>
      <c r="N109" s="58" t="n">
        <f aca="false">(D109+E109)/2</f>
        <v>1730.3</v>
      </c>
      <c r="O109" s="57"/>
      <c r="P109" s="57"/>
      <c r="Q109" s="57"/>
      <c r="R109" s="57"/>
      <c r="S109" s="57"/>
      <c r="Y109" s="1"/>
      <c r="Z109" s="1"/>
      <c r="AA109" s="1"/>
    </row>
    <row r="110" customFormat="false" ht="12.8" hidden="false" customHeight="false" outlineLevel="0" collapsed="false">
      <c r="M110" s="60"/>
      <c r="Y110" s="1"/>
      <c r="Z110" s="1"/>
      <c r="AA110" s="1"/>
    </row>
    <row r="111" customFormat="false" ht="12.8" hidden="false" customHeight="false" outlineLevel="0" collapsed="false">
      <c r="A111" s="51" t="s">
        <v>315</v>
      </c>
      <c r="B111" s="52"/>
      <c r="C111" s="52"/>
      <c r="D111" s="52" t="s">
        <v>118</v>
      </c>
      <c r="E111" s="52" t="s">
        <v>160</v>
      </c>
      <c r="F111" s="52" t="s">
        <v>306</v>
      </c>
      <c r="G111" s="52" t="s">
        <v>307</v>
      </c>
      <c r="H111" s="52" t="s">
        <v>163</v>
      </c>
      <c r="I111" s="52" t="s">
        <v>164</v>
      </c>
      <c r="J111" s="52" t="s">
        <v>165</v>
      </c>
      <c r="K111" s="52" t="s">
        <v>166</v>
      </c>
      <c r="L111" s="52" t="s">
        <v>167</v>
      </c>
      <c r="M111" s="61"/>
      <c r="N111" s="53"/>
      <c r="O111" s="54"/>
      <c r="P111" s="53"/>
      <c r="Q111" s="53"/>
      <c r="R111" s="53"/>
      <c r="S111" s="53"/>
      <c r="Y111" s="1"/>
      <c r="Z111" s="1"/>
      <c r="AA111" s="1"/>
    </row>
    <row r="112" customFormat="false" ht="12.8" hidden="false" customHeight="false" outlineLevel="0" collapsed="false">
      <c r="A112" s="55" t="s">
        <v>308</v>
      </c>
      <c r="B112" s="55"/>
      <c r="C112" s="55"/>
      <c r="D112" s="56" t="n">
        <f aca="false">VLOOKUP($A112,BD_Armas,16,0)</f>
        <v>422.5</v>
      </c>
      <c r="E112" s="56" t="n">
        <f aca="false">VLOOKUP($A112,BD_Armas,17,0)</f>
        <v>71.5</v>
      </c>
      <c r="F112" s="56" t="n">
        <f aca="false">VLOOKUP($A112,BD_Armas,18,0)</f>
        <v>410.8</v>
      </c>
      <c r="G112" s="56" t="n">
        <f aca="false">VLOOKUP($A112,BD_Armas,19,0)</f>
        <v>447.2</v>
      </c>
      <c r="H112" s="28" t="n">
        <f aca="false">VLOOKUP($A112,BD_Armas,8,0)</f>
        <v>0</v>
      </c>
      <c r="I112" s="28" t="n">
        <f aca="false">VLOOKUP($A112,BD_Armas,9,0)</f>
        <v>20.8</v>
      </c>
      <c r="J112" s="28" t="n">
        <f aca="false">VLOOKUP($A112,BD_Armas,10,0)</f>
        <v>0</v>
      </c>
      <c r="K112" s="28" t="n">
        <f aca="false">VLOOKUP($A112,BD_Armas,11,0)</f>
        <v>0</v>
      </c>
      <c r="L112" s="28" t="n">
        <f aca="false">VLOOKUP($A112,BD_Armas,12,0)</f>
        <v>0</v>
      </c>
      <c r="M112" s="58"/>
      <c r="N112" s="57"/>
      <c r="O112" s="57"/>
      <c r="P112" s="57"/>
      <c r="Q112" s="57"/>
      <c r="R112" s="57"/>
      <c r="S112" s="57"/>
      <c r="Y112" s="1"/>
      <c r="Z112" s="1"/>
      <c r="AA112" s="1"/>
    </row>
    <row r="113" customFormat="false" ht="12.8" hidden="false" customHeight="false" outlineLevel="0" collapsed="false">
      <c r="A113" s="55" t="s">
        <v>309</v>
      </c>
      <c r="B113" s="55"/>
      <c r="C113" s="55"/>
      <c r="D113" s="56" t="n">
        <f aca="false">VLOOKUP($A113,BD_Armas,16,0)</f>
        <v>416</v>
      </c>
      <c r="E113" s="56" t="n">
        <f aca="false">VLOOKUP($A113,BD_Armas,17,0)</f>
        <v>117</v>
      </c>
      <c r="F113" s="56" t="n">
        <f aca="false">VLOOKUP($A113,BD_Armas,18,0)</f>
        <v>409.5</v>
      </c>
      <c r="G113" s="56" t="n">
        <f aca="false">VLOOKUP($A113,BD_Armas,19,0)</f>
        <v>412.1</v>
      </c>
      <c r="H113" s="28" t="n">
        <f aca="false">VLOOKUP($A113,BD_Armas,8,0)</f>
        <v>33</v>
      </c>
      <c r="I113" s="28" t="n">
        <f aca="false">VLOOKUP($A113,BD_Armas,9,0)</f>
        <v>0</v>
      </c>
      <c r="J113" s="28" t="n">
        <f aca="false">VLOOKUP($A113,BD_Armas,10,0)</f>
        <v>33</v>
      </c>
      <c r="K113" s="28" t="n">
        <f aca="false">VLOOKUP($A113,BD_Armas,11,0)</f>
        <v>0</v>
      </c>
      <c r="L113" s="28" t="n">
        <f aca="false">VLOOKUP($A113,BD_Armas,12,0)</f>
        <v>0</v>
      </c>
      <c r="M113" s="58"/>
      <c r="N113" s="57"/>
      <c r="O113" s="57"/>
      <c r="P113" s="57"/>
      <c r="Q113" s="57"/>
      <c r="R113" s="57"/>
      <c r="S113" s="57"/>
      <c r="Y113" s="1"/>
      <c r="Z113" s="1"/>
      <c r="AA113" s="1"/>
    </row>
    <row r="114" customFormat="false" ht="12.8" hidden="false" customHeight="false" outlineLevel="0" collapsed="false">
      <c r="A114" s="55" t="s">
        <v>310</v>
      </c>
      <c r="B114" s="55"/>
      <c r="C114" s="55"/>
      <c r="D114" s="56" t="n">
        <f aca="false">VLOOKUP($A114,BD_Armas,16,0)</f>
        <v>698.1</v>
      </c>
      <c r="E114" s="56" t="n">
        <f aca="false">VLOOKUP($A114,BD_Armas,17,0)</f>
        <v>93.6</v>
      </c>
      <c r="F114" s="56" t="n">
        <f aca="false">VLOOKUP($A114,BD_Armas,18,0)</f>
        <v>-7.8</v>
      </c>
      <c r="G114" s="56" t="n">
        <f aca="false">VLOOKUP($A114,BD_Armas,19,0)</f>
        <v>5.2</v>
      </c>
      <c r="H114" s="28" t="n">
        <f aca="false">VLOOKUP($A114,BD_Armas,8,0)</f>
        <v>0</v>
      </c>
      <c r="I114" s="28" t="n">
        <f aca="false">VLOOKUP($A114,BD_Armas,9,0)</f>
        <v>0</v>
      </c>
      <c r="J114" s="28" t="n">
        <f aca="false">VLOOKUP($A114,BD_Armas,10,0)</f>
        <v>0</v>
      </c>
      <c r="K114" s="28" t="n">
        <f aca="false">VLOOKUP($A114,BD_Armas,11,0)</f>
        <v>7.8</v>
      </c>
      <c r="L114" s="28" t="n">
        <f aca="false">VLOOKUP($A114,BD_Armas,12,0)</f>
        <v>0</v>
      </c>
      <c r="M114" s="58"/>
      <c r="N114" s="57"/>
      <c r="O114" s="57"/>
      <c r="P114" s="57"/>
      <c r="Q114" s="57"/>
      <c r="R114" s="57"/>
      <c r="S114" s="57"/>
      <c r="Y114" s="1"/>
      <c r="Z114" s="1"/>
      <c r="AA114" s="1"/>
    </row>
    <row r="115" customFormat="false" ht="12.8" hidden="false" customHeight="false" outlineLevel="0" collapsed="false">
      <c r="A115" s="55" t="s">
        <v>311</v>
      </c>
      <c r="B115" s="55"/>
      <c r="C115" s="55"/>
      <c r="D115" s="56" t="n">
        <f aca="false">VLOOKUP($A115,BD_Armas,16,0)</f>
        <v>136.5</v>
      </c>
      <c r="E115" s="56" t="n">
        <f aca="false">VLOOKUP($A115,BD_Armas,17,0)</f>
        <v>473.2</v>
      </c>
      <c r="F115" s="56" t="n">
        <f aca="false">VLOOKUP($A115,BD_Armas,18,0)</f>
        <v>136.5</v>
      </c>
      <c r="G115" s="56" t="n">
        <f aca="false">VLOOKUP($A115,BD_Armas,19,0)</f>
        <v>136.5</v>
      </c>
      <c r="H115" s="28" t="n">
        <f aca="false">VLOOKUP($A115,BD_Armas,8,0)</f>
        <v>69.6</v>
      </c>
      <c r="I115" s="28" t="n">
        <f aca="false">VLOOKUP($A115,BD_Armas,9,0)</f>
        <v>81.3</v>
      </c>
      <c r="J115" s="28" t="n">
        <f aca="false">VLOOKUP($A115,BD_Armas,10,0)</f>
        <v>69.6</v>
      </c>
      <c r="K115" s="28" t="n">
        <f aca="false">VLOOKUP($A115,BD_Armas,11,0)</f>
        <v>93</v>
      </c>
      <c r="L115" s="28" t="n">
        <f aca="false">VLOOKUP($A115,BD_Armas,12,0)</f>
        <v>102.1</v>
      </c>
      <c r="M115" s="58"/>
      <c r="N115" s="57"/>
      <c r="O115" s="57"/>
      <c r="P115" s="57"/>
      <c r="Q115" s="57"/>
      <c r="R115" s="57"/>
      <c r="S115" s="57"/>
      <c r="Y115" s="1"/>
      <c r="Z115" s="1"/>
      <c r="AA115" s="1"/>
    </row>
    <row r="116" customFormat="false" ht="12.8" hidden="false" customHeight="false" outlineLevel="0" collapsed="false">
      <c r="A116" s="59"/>
      <c r="B116" s="59"/>
      <c r="C116" s="59"/>
      <c r="D116" s="59" t="n">
        <f aca="false">D112+D113+D114+D115</f>
        <v>1673.1</v>
      </c>
      <c r="E116" s="59" t="n">
        <f aca="false">E112+E113+E114+E115</f>
        <v>755.3</v>
      </c>
      <c r="F116" s="59" t="n">
        <f aca="false">F112+F113+F114+F115</f>
        <v>949</v>
      </c>
      <c r="G116" s="59" t="n">
        <f aca="false">G112+G113+G114+G115</f>
        <v>1001</v>
      </c>
      <c r="H116" s="59" t="n">
        <f aca="false">H112+H113+H114+H115</f>
        <v>102.6</v>
      </c>
      <c r="I116" s="59" t="n">
        <f aca="false">I112+I113+I114+I115</f>
        <v>102.1</v>
      </c>
      <c r="J116" s="59" t="n">
        <f aca="false">J112+J113+J114+J115</f>
        <v>102.6</v>
      </c>
      <c r="K116" s="59" t="n">
        <f aca="false">K112+K113+K114+K115</f>
        <v>100.8</v>
      </c>
      <c r="L116" s="59" t="n">
        <f aca="false">L112+L113+L114+L115</f>
        <v>102.1</v>
      </c>
      <c r="M116" s="58" t="n">
        <f aca="false">(D116+E116+F116+G116)/4</f>
        <v>1094.6</v>
      </c>
      <c r="N116" s="57"/>
      <c r="O116" s="57"/>
      <c r="P116" s="57"/>
      <c r="Q116" s="57"/>
      <c r="R116" s="57"/>
      <c r="S116" s="57"/>
      <c r="Y116" s="1"/>
      <c r="Z116" s="1"/>
      <c r="AA116" s="1"/>
    </row>
    <row r="117" customFormat="false" ht="12.8" hidden="false" customHeight="false" outlineLevel="0" collapsed="false">
      <c r="M117" s="60"/>
      <c r="Y117" s="1"/>
      <c r="Z117" s="1"/>
      <c r="AA117" s="1"/>
    </row>
    <row r="118" customFormat="false" ht="12.8" hidden="false" customHeight="false" outlineLevel="0" collapsed="false">
      <c r="M118" s="60"/>
      <c r="Y118" s="1"/>
      <c r="Z118" s="1"/>
      <c r="AA118" s="1"/>
    </row>
    <row r="119" customFormat="false" ht="12.8" hidden="false" customHeight="false" outlineLevel="0" collapsed="false">
      <c r="Y119" s="1"/>
      <c r="Z119" s="1"/>
      <c r="AA119" s="1"/>
    </row>
    <row r="120" customFormat="false" ht="12.8" hidden="false" customHeight="false" outlineLevel="0" collapsed="false">
      <c r="A120" s="12" t="s">
        <v>316</v>
      </c>
      <c r="Y120" s="1"/>
      <c r="Z120" s="1"/>
      <c r="AA120" s="1"/>
    </row>
    <row r="121" customFormat="false" ht="12.8" hidden="false" customHeight="false" outlineLevel="0" collapsed="false">
      <c r="A121" s="51"/>
      <c r="B121" s="52" t="s">
        <v>142</v>
      </c>
      <c r="C121" s="52" t="s">
        <v>145</v>
      </c>
      <c r="D121" s="52" t="s">
        <v>118</v>
      </c>
      <c r="E121" s="52" t="s">
        <v>160</v>
      </c>
      <c r="F121" s="52" t="s">
        <v>161</v>
      </c>
      <c r="G121" s="52" t="s">
        <v>162</v>
      </c>
      <c r="H121" s="52" t="s">
        <v>163</v>
      </c>
      <c r="I121" s="52" t="s">
        <v>164</v>
      </c>
      <c r="J121" s="52" t="s">
        <v>165</v>
      </c>
      <c r="K121" s="52" t="s">
        <v>166</v>
      </c>
      <c r="L121" s="52" t="s">
        <v>167</v>
      </c>
      <c r="M121" s="52" t="s">
        <v>119</v>
      </c>
      <c r="N121" s="52" t="s">
        <v>317</v>
      </c>
      <c r="O121" s="62" t="s">
        <v>318</v>
      </c>
      <c r="P121" s="52" t="s">
        <v>118</v>
      </c>
      <c r="Q121" s="52" t="s">
        <v>160</v>
      </c>
      <c r="R121" s="52" t="s">
        <v>306</v>
      </c>
      <c r="S121" s="52" t="s">
        <v>307</v>
      </c>
      <c r="T121" s="52" t="s">
        <v>172</v>
      </c>
      <c r="Y121" s="1"/>
      <c r="Z121" s="1"/>
      <c r="AA121" s="1"/>
    </row>
    <row r="122" customFormat="false" ht="12.8" hidden="false" customHeight="false" outlineLevel="0" collapsed="false">
      <c r="A122" s="63" t="s">
        <v>319</v>
      </c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6"/>
      <c r="N122" s="65"/>
      <c r="O122" s="66" t="n">
        <f aca="false">SUM(O123:O128)</f>
        <v>0</v>
      </c>
      <c r="P122" s="65" t="n">
        <f aca="false">SUM(P123:P128)</f>
        <v>0</v>
      </c>
      <c r="Q122" s="65" t="n">
        <f aca="false">SUM(Q123:Q128)</f>
        <v>0</v>
      </c>
      <c r="R122" s="65" t="n">
        <f aca="false">SUM(R123:R128)</f>
        <v>0</v>
      </c>
      <c r="S122" s="65" t="n">
        <f aca="false">SUM(S123:S128)</f>
        <v>0</v>
      </c>
      <c r="T122" s="46"/>
      <c r="Y122" s="1"/>
      <c r="Z122" s="1"/>
      <c r="AA122" s="1"/>
    </row>
    <row r="123" customFormat="false" ht="12.8" hidden="false" customHeight="false" outlineLevel="0" collapsed="false">
      <c r="A123" s="30" t="s">
        <v>148</v>
      </c>
      <c r="B123" s="67" t="n">
        <f aca="false">VLOOKUP($A123,BD_Items,2,0)</f>
        <v>0</v>
      </c>
      <c r="C123" s="67" t="n">
        <f aca="false">VLOOKUP($A123,BD_Items,3,0)</f>
        <v>0</v>
      </c>
      <c r="D123" s="68" t="n">
        <f aca="false">VLOOKUP($A123,BD_Items,4,0)</f>
        <v>0</v>
      </c>
      <c r="E123" s="68" t="n">
        <f aca="false">VLOOKUP($A123,BD_Items,5,0)</f>
        <v>0</v>
      </c>
      <c r="F123" s="68" t="n">
        <f aca="false">VLOOKUP($A123,BD_Items,6,0)</f>
        <v>0</v>
      </c>
      <c r="G123" s="68" t="n">
        <f aca="false">VLOOKUP($A123,BD_Items,7,0)</f>
        <v>0</v>
      </c>
      <c r="H123" s="69" t="n">
        <f aca="false">VLOOKUP($A123,BD_Items,8,0)*$N123</f>
        <v>0</v>
      </c>
      <c r="I123" s="69" t="n">
        <f aca="false">VLOOKUP($A123,BD_Items,9,0)*$N123</f>
        <v>0</v>
      </c>
      <c r="J123" s="69" t="n">
        <f aca="false">VLOOKUP($A123,BD_Items,10,0)*$N123</f>
        <v>0</v>
      </c>
      <c r="K123" s="69" t="n">
        <f aca="false">VLOOKUP($A123,BD_Items,11,0)*$N123</f>
        <v>0</v>
      </c>
      <c r="L123" s="69" t="n">
        <f aca="false">VLOOKUP($A123,BD_Items,12,0)*$N123</f>
        <v>0</v>
      </c>
      <c r="M123" s="70" t="n">
        <f aca="false">VLOOKUP($A123,BD_Items,13,0)</f>
        <v>0</v>
      </c>
      <c r="N123" s="21" t="n">
        <v>57</v>
      </c>
      <c r="O123" s="71" t="n">
        <f aca="false">M123*N123</f>
        <v>0</v>
      </c>
      <c r="P123" s="68" t="n">
        <f aca="false">(D123*$N123)*(1+$S$1)</f>
        <v>0</v>
      </c>
      <c r="Q123" s="68" t="n">
        <f aca="false">(E123*$N123)*(1+$S$1)</f>
        <v>0</v>
      </c>
      <c r="R123" s="68" t="n">
        <f aca="false">(F123*$N123)*(1+$S$1)</f>
        <v>0</v>
      </c>
      <c r="S123" s="68" t="n">
        <f aca="false">(G123*$N123)*(1+$S$1)</f>
        <v>0</v>
      </c>
      <c r="T123" s="55" t="str">
        <f aca="false">VLOOKUP($A123,BD_Items,20,0)</f>
        <v>na</v>
      </c>
      <c r="Y123" s="1"/>
      <c r="Z123" s="1"/>
      <c r="AA123" s="1"/>
    </row>
    <row r="124" customFormat="false" ht="12.8" hidden="false" customHeight="false" outlineLevel="0" collapsed="false">
      <c r="A124" s="45" t="s">
        <v>148</v>
      </c>
      <c r="B124" s="67" t="n">
        <v>0</v>
      </c>
      <c r="C124" s="67" t="n">
        <v>0</v>
      </c>
      <c r="D124" s="68" t="n">
        <f aca="false">VLOOKUP($A124,BD_Items,4,0)</f>
        <v>0</v>
      </c>
      <c r="E124" s="68" t="n">
        <f aca="false">VLOOKUP($A124,BD_Items,5,0)</f>
        <v>0</v>
      </c>
      <c r="F124" s="68" t="n">
        <f aca="false">VLOOKUP($A124,BD_Items,6,0)</f>
        <v>0</v>
      </c>
      <c r="G124" s="68" t="n">
        <f aca="false">VLOOKUP($A124,BD_Items,7,0)</f>
        <v>0</v>
      </c>
      <c r="H124" s="69" t="n">
        <f aca="false">VLOOKUP($A124,BD_Items,8,0)*$N124</f>
        <v>0</v>
      </c>
      <c r="I124" s="69" t="n">
        <f aca="false">VLOOKUP($A124,BD_Items,9,0)*$N124</f>
        <v>0</v>
      </c>
      <c r="J124" s="69" t="n">
        <f aca="false">VLOOKUP($A124,BD_Items,10,0)*$N124</f>
        <v>0</v>
      </c>
      <c r="K124" s="69" t="n">
        <f aca="false">VLOOKUP($A124,BD_Items,11,0)*$N124</f>
        <v>0</v>
      </c>
      <c r="L124" s="69" t="n">
        <f aca="false">VLOOKUP($A124,BD_Items,12,0)*$N124</f>
        <v>0</v>
      </c>
      <c r="M124" s="70" t="n">
        <f aca="false">VLOOKUP($A124,BD_Items,13,0)</f>
        <v>0</v>
      </c>
      <c r="N124" s="21" t="n">
        <v>0</v>
      </c>
      <c r="O124" s="71" t="n">
        <f aca="false">M124*N124</f>
        <v>0</v>
      </c>
      <c r="P124" s="68" t="n">
        <f aca="false">(D124*$N124)*(1+$S$1)</f>
        <v>0</v>
      </c>
      <c r="Q124" s="68" t="n">
        <f aca="false">(E124*$N124)*(1+$S$1)</f>
        <v>0</v>
      </c>
      <c r="R124" s="68" t="n">
        <f aca="false">(F124*$N124)*(1+$S$1)</f>
        <v>0</v>
      </c>
      <c r="S124" s="68" t="n">
        <f aca="false">(G124*$N124)*(1+$S$1)</f>
        <v>0</v>
      </c>
      <c r="T124" s="55" t="str">
        <f aca="false">VLOOKUP($A124,BD_Items,20,0)</f>
        <v>na</v>
      </c>
      <c r="Y124" s="1"/>
      <c r="Z124" s="1"/>
      <c r="AA124" s="1"/>
    </row>
    <row r="125" customFormat="false" ht="12.8" hidden="false" customHeight="false" outlineLevel="0" collapsed="false">
      <c r="A125" s="45" t="s">
        <v>148</v>
      </c>
      <c r="B125" s="67" t="n">
        <v>0</v>
      </c>
      <c r="C125" s="67" t="n">
        <v>0</v>
      </c>
      <c r="D125" s="68" t="n">
        <f aca="false">VLOOKUP($A125,BD_Items,4,0)</f>
        <v>0</v>
      </c>
      <c r="E125" s="68" t="n">
        <f aca="false">VLOOKUP($A125,BD_Items,5,0)</f>
        <v>0</v>
      </c>
      <c r="F125" s="68" t="n">
        <f aca="false">VLOOKUP($A125,BD_Items,6,0)</f>
        <v>0</v>
      </c>
      <c r="G125" s="68" t="n">
        <f aca="false">VLOOKUP($A125,BD_Items,7,0)</f>
        <v>0</v>
      </c>
      <c r="H125" s="69" t="n">
        <f aca="false">VLOOKUP($A125,BD_Items,8,0)*$N125</f>
        <v>0</v>
      </c>
      <c r="I125" s="69" t="n">
        <f aca="false">VLOOKUP($A125,BD_Items,9,0)*$N125</f>
        <v>0</v>
      </c>
      <c r="J125" s="69" t="n">
        <f aca="false">VLOOKUP($A125,BD_Items,10,0)*$N125</f>
        <v>0</v>
      </c>
      <c r="K125" s="69" t="n">
        <f aca="false">VLOOKUP($A125,BD_Items,11,0)*$N125</f>
        <v>0</v>
      </c>
      <c r="L125" s="69" t="n">
        <f aca="false">VLOOKUP($A125,BD_Items,12,0)*$N125</f>
        <v>0</v>
      </c>
      <c r="M125" s="70" t="n">
        <f aca="false">VLOOKUP($A125,BD_Items,13,0)</f>
        <v>0</v>
      </c>
      <c r="N125" s="21" t="n">
        <v>0</v>
      </c>
      <c r="O125" s="71" t="n">
        <f aca="false">M125*N125</f>
        <v>0</v>
      </c>
      <c r="P125" s="68" t="n">
        <f aca="false">(D125*$N125)*(1+$S$1)</f>
        <v>0</v>
      </c>
      <c r="Q125" s="68" t="n">
        <f aca="false">(E125*$N125)*(1+$S$1)</f>
        <v>0</v>
      </c>
      <c r="R125" s="68" t="n">
        <f aca="false">(F125*$N125)*(1+$S$1)</f>
        <v>0</v>
      </c>
      <c r="S125" s="68" t="n">
        <f aca="false">(G125*$N125)*(1+$S$1)</f>
        <v>0</v>
      </c>
      <c r="T125" s="55" t="str">
        <f aca="false">VLOOKUP($A125,BD_Items,20,0)</f>
        <v>na</v>
      </c>
      <c r="Y125" s="1"/>
      <c r="Z125" s="1"/>
      <c r="AA125" s="1"/>
    </row>
    <row r="126" customFormat="false" ht="12.8" hidden="false" customHeight="false" outlineLevel="0" collapsed="false">
      <c r="A126" s="45" t="s">
        <v>148</v>
      </c>
      <c r="B126" s="67" t="n">
        <v>0</v>
      </c>
      <c r="C126" s="67" t="n">
        <v>0</v>
      </c>
      <c r="D126" s="68" t="n">
        <f aca="false">VLOOKUP($A126,BD_Items,4,0)</f>
        <v>0</v>
      </c>
      <c r="E126" s="68" t="n">
        <f aca="false">VLOOKUP($A126,BD_Items,5,0)</f>
        <v>0</v>
      </c>
      <c r="F126" s="68" t="n">
        <f aca="false">VLOOKUP($A126,BD_Items,6,0)</f>
        <v>0</v>
      </c>
      <c r="G126" s="68" t="n">
        <f aca="false">VLOOKUP($A126,BD_Items,7,0)</f>
        <v>0</v>
      </c>
      <c r="H126" s="69" t="n">
        <f aca="false">VLOOKUP($A126,BD_Items,8,0)*$N126</f>
        <v>0</v>
      </c>
      <c r="I126" s="69" t="n">
        <f aca="false">VLOOKUP($A126,BD_Items,9,0)*$N126</f>
        <v>0</v>
      </c>
      <c r="J126" s="69" t="n">
        <f aca="false">VLOOKUP($A126,BD_Items,10,0)*$N126</f>
        <v>0</v>
      </c>
      <c r="K126" s="69" t="n">
        <f aca="false">VLOOKUP($A126,BD_Items,11,0)*$N126</f>
        <v>0</v>
      </c>
      <c r="L126" s="69" t="n">
        <f aca="false">VLOOKUP($A126,BD_Items,12,0)*$N126</f>
        <v>0</v>
      </c>
      <c r="M126" s="70" t="n">
        <f aca="false">VLOOKUP($A126,BD_Items,13,0)</f>
        <v>0</v>
      </c>
      <c r="N126" s="21" t="n">
        <v>1</v>
      </c>
      <c r="O126" s="71" t="n">
        <f aca="false">M126*N126</f>
        <v>0</v>
      </c>
      <c r="P126" s="68" t="n">
        <f aca="false">(D126*$N126)*(1+$S$1)</f>
        <v>0</v>
      </c>
      <c r="Q126" s="68" t="n">
        <f aca="false">(E126*$N126)*(1+$S$1)</f>
        <v>0</v>
      </c>
      <c r="R126" s="68" t="n">
        <f aca="false">(F126*$N126)*(1+$S$1)</f>
        <v>0</v>
      </c>
      <c r="S126" s="68" t="n">
        <f aca="false">(G126*$N126)*(1+$S$1)</f>
        <v>0</v>
      </c>
      <c r="T126" s="55" t="str">
        <f aca="false">VLOOKUP($A126,BD_Items,20,0)</f>
        <v>na</v>
      </c>
      <c r="Y126" s="1"/>
      <c r="Z126" s="1"/>
      <c r="AA126" s="1"/>
    </row>
    <row r="127" customFormat="false" ht="12.8" hidden="false" customHeight="false" outlineLevel="0" collapsed="false">
      <c r="A127" s="45" t="s">
        <v>148</v>
      </c>
      <c r="B127" s="67" t="n">
        <v>0</v>
      </c>
      <c r="C127" s="67" t="n">
        <v>0</v>
      </c>
      <c r="D127" s="68" t="n">
        <f aca="false">VLOOKUP($A127,BD_Items,4,0)</f>
        <v>0</v>
      </c>
      <c r="E127" s="68" t="n">
        <f aca="false">VLOOKUP($A127,BD_Items,5,0)</f>
        <v>0</v>
      </c>
      <c r="F127" s="68" t="n">
        <f aca="false">VLOOKUP($A127,BD_Items,6,0)</f>
        <v>0</v>
      </c>
      <c r="G127" s="68" t="n">
        <f aca="false">VLOOKUP($A127,BD_Items,7,0)</f>
        <v>0</v>
      </c>
      <c r="H127" s="69" t="n">
        <f aca="false">VLOOKUP($A127,BD_Items,8,0)*$N127</f>
        <v>0</v>
      </c>
      <c r="I127" s="69" t="n">
        <f aca="false">VLOOKUP($A127,BD_Items,9,0)*$N127</f>
        <v>0</v>
      </c>
      <c r="J127" s="69" t="n">
        <f aca="false">VLOOKUP($A127,BD_Items,10,0)*$N127</f>
        <v>0</v>
      </c>
      <c r="K127" s="69" t="n">
        <f aca="false">VLOOKUP($A127,BD_Items,11,0)*$N127</f>
        <v>0</v>
      </c>
      <c r="L127" s="69" t="n">
        <f aca="false">VLOOKUP($A127,BD_Items,12,0)*$N127</f>
        <v>0</v>
      </c>
      <c r="M127" s="70" t="n">
        <f aca="false">VLOOKUP($A127,BD_Items,13,0)</f>
        <v>0</v>
      </c>
      <c r="N127" s="21" t="n">
        <v>1</v>
      </c>
      <c r="O127" s="71" t="n">
        <f aca="false">M127*N127</f>
        <v>0</v>
      </c>
      <c r="P127" s="68" t="n">
        <f aca="false">(D127*$N127)*(1+$S$1)</f>
        <v>0</v>
      </c>
      <c r="Q127" s="68" t="n">
        <f aca="false">(E127*$N127)*(1+$S$1)</f>
        <v>0</v>
      </c>
      <c r="R127" s="68" t="n">
        <f aca="false">(F127*$N127)*(1+$S$1)</f>
        <v>0</v>
      </c>
      <c r="S127" s="68" t="n">
        <f aca="false">(G127*$N127)*(1+$S$1)</f>
        <v>0</v>
      </c>
      <c r="T127" s="55" t="str">
        <f aca="false">VLOOKUP($A127,BD_Items,20,0)</f>
        <v>na</v>
      </c>
      <c r="Y127" s="1"/>
      <c r="Z127" s="1"/>
      <c r="AA127" s="1"/>
    </row>
    <row r="128" customFormat="false" ht="12.8" hidden="false" customHeight="false" outlineLevel="0" collapsed="false">
      <c r="A128" s="45" t="s">
        <v>148</v>
      </c>
      <c r="B128" s="67" t="n">
        <v>0</v>
      </c>
      <c r="C128" s="67" t="n">
        <v>0</v>
      </c>
      <c r="D128" s="68" t="n">
        <f aca="false">VLOOKUP($A128,BD_Items,4,0)</f>
        <v>0</v>
      </c>
      <c r="E128" s="68" t="n">
        <f aca="false">VLOOKUP($A128,BD_Items,5,0)</f>
        <v>0</v>
      </c>
      <c r="F128" s="68" t="n">
        <f aca="false">VLOOKUP($A128,BD_Items,6,0)</f>
        <v>0</v>
      </c>
      <c r="G128" s="68" t="n">
        <f aca="false">VLOOKUP($A128,BD_Items,7,0)</f>
        <v>0</v>
      </c>
      <c r="H128" s="69" t="n">
        <f aca="false">VLOOKUP($A128,BD_Items,8,0)*$N128</f>
        <v>0</v>
      </c>
      <c r="I128" s="69" t="n">
        <f aca="false">VLOOKUP($A128,BD_Items,9,0)*$N128</f>
        <v>0</v>
      </c>
      <c r="J128" s="69" t="n">
        <f aca="false">VLOOKUP($A128,BD_Items,10,0)*$N128</f>
        <v>0</v>
      </c>
      <c r="K128" s="69" t="n">
        <f aca="false">VLOOKUP($A128,BD_Items,11,0)*$N128</f>
        <v>0</v>
      </c>
      <c r="L128" s="69" t="n">
        <f aca="false">VLOOKUP($A128,BD_Items,12,0)*$N128</f>
        <v>0</v>
      </c>
      <c r="M128" s="70" t="n">
        <f aca="false">VLOOKUP($A128,BD_Items,13,0)</f>
        <v>0</v>
      </c>
      <c r="N128" s="21" t="n">
        <v>1</v>
      </c>
      <c r="O128" s="71" t="n">
        <f aca="false">M128*N128</f>
        <v>0</v>
      </c>
      <c r="P128" s="68" t="n">
        <f aca="false">(D128*$N128)*(1+$S$1)</f>
        <v>0</v>
      </c>
      <c r="Q128" s="68" t="n">
        <f aca="false">(E128*$N128)*(1+$S$1)</f>
        <v>0</v>
      </c>
      <c r="R128" s="68" t="n">
        <f aca="false">(F128*$N128)*(1+$S$1)</f>
        <v>0</v>
      </c>
      <c r="S128" s="68" t="n">
        <f aca="false">(G128*$N128)*(1+$S$1)</f>
        <v>0</v>
      </c>
      <c r="T128" s="55" t="str">
        <f aca="false">VLOOKUP($A128,BD_Items,20,0)</f>
        <v>na</v>
      </c>
      <c r="Y128" s="1"/>
      <c r="Z128" s="1"/>
      <c r="AA128" s="1"/>
    </row>
    <row r="129" customFormat="false" ht="12.8" hidden="false" customHeight="false" outlineLevel="0" collapsed="false">
      <c r="A129" s="63" t="s">
        <v>320</v>
      </c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6"/>
      <c r="N129" s="65"/>
      <c r="O129" s="66" t="n">
        <f aca="false">SUM(O130:O135)</f>
        <v>0</v>
      </c>
      <c r="P129" s="65" t="n">
        <f aca="false">SUM(P130:P135)</f>
        <v>0</v>
      </c>
      <c r="Q129" s="65" t="n">
        <f aca="false">SUM(Q130:Q135)</f>
        <v>0</v>
      </c>
      <c r="R129" s="65" t="n">
        <f aca="false">SUM(R130:R135)</f>
        <v>0</v>
      </c>
      <c r="S129" s="65" t="n">
        <f aca="false">SUM(S130:S135)</f>
        <v>0</v>
      </c>
      <c r="T129" s="46"/>
      <c r="Y129" s="1"/>
      <c r="Z129" s="1"/>
      <c r="AA129" s="1"/>
    </row>
    <row r="130" customFormat="false" ht="12.8" hidden="false" customHeight="false" outlineLevel="0" collapsed="false">
      <c r="A130" s="30" t="s">
        <v>148</v>
      </c>
      <c r="B130" s="67" t="n">
        <f aca="false">VLOOKUP($A130,BD_Items,2,0)</f>
        <v>0</v>
      </c>
      <c r="C130" s="67" t="n">
        <f aca="false">VLOOKUP($A130,BD_Items,3,0)</f>
        <v>0</v>
      </c>
      <c r="D130" s="68" t="n">
        <f aca="false">VLOOKUP($A130,BD_Items,4,0)</f>
        <v>0</v>
      </c>
      <c r="E130" s="68" t="n">
        <f aca="false">VLOOKUP($A130,BD_Items,5,0)</f>
        <v>0</v>
      </c>
      <c r="F130" s="68" t="n">
        <f aca="false">VLOOKUP($A130,BD_Items,6,0)</f>
        <v>0</v>
      </c>
      <c r="G130" s="68" t="n">
        <f aca="false">VLOOKUP($A130,BD_Items,7,0)</f>
        <v>0</v>
      </c>
      <c r="H130" s="69" t="n">
        <f aca="false">VLOOKUP($A130,BD_Items,8,0)*$N130</f>
        <v>0</v>
      </c>
      <c r="I130" s="69" t="n">
        <f aca="false">VLOOKUP($A130,BD_Items,9,0)*$N130</f>
        <v>0</v>
      </c>
      <c r="J130" s="69" t="n">
        <f aca="false">VLOOKUP($A130,BD_Items,10,0)*$N130</f>
        <v>0</v>
      </c>
      <c r="K130" s="69" t="n">
        <f aca="false">VLOOKUP($A130,BD_Items,11,0)*$N130</f>
        <v>0</v>
      </c>
      <c r="L130" s="69" t="n">
        <f aca="false">VLOOKUP($A130,BD_Items,12,0)*$N130</f>
        <v>0</v>
      </c>
      <c r="M130" s="70" t="n">
        <f aca="false">VLOOKUP($A130,BD_Items,13,0)</f>
        <v>0</v>
      </c>
      <c r="N130" s="21" t="n">
        <v>1</v>
      </c>
      <c r="O130" s="71" t="n">
        <f aca="false">M130*N130</f>
        <v>0</v>
      </c>
      <c r="P130" s="68" t="n">
        <f aca="false">(D130*$N130)*(1+$S$1)</f>
        <v>0</v>
      </c>
      <c r="Q130" s="68" t="n">
        <f aca="false">(E130*$N130)*(1+$S$1)</f>
        <v>0</v>
      </c>
      <c r="R130" s="68" t="n">
        <f aca="false">(F130*$N130)*(1+$S$1)</f>
        <v>0</v>
      </c>
      <c r="S130" s="68" t="n">
        <f aca="false">(G130*$N130)*(1+$S$1)</f>
        <v>0</v>
      </c>
      <c r="T130" s="55" t="str">
        <f aca="false">VLOOKUP($A130,BD_Items,20,0)</f>
        <v>na</v>
      </c>
      <c r="Y130" s="1"/>
      <c r="Z130" s="1"/>
      <c r="AA130" s="1"/>
    </row>
    <row r="131" customFormat="false" ht="12.8" hidden="false" customHeight="false" outlineLevel="0" collapsed="false">
      <c r="A131" s="45" t="s">
        <v>148</v>
      </c>
      <c r="B131" s="67" t="n">
        <v>0</v>
      </c>
      <c r="C131" s="67" t="n">
        <v>0</v>
      </c>
      <c r="D131" s="68" t="n">
        <f aca="false">VLOOKUP($A131,BD_Items,4,0)</f>
        <v>0</v>
      </c>
      <c r="E131" s="68" t="n">
        <f aca="false">VLOOKUP($A131,BD_Items,5,0)</f>
        <v>0</v>
      </c>
      <c r="F131" s="68" t="n">
        <f aca="false">VLOOKUP($A131,BD_Items,6,0)</f>
        <v>0</v>
      </c>
      <c r="G131" s="68" t="n">
        <f aca="false">VLOOKUP($A131,BD_Items,7,0)</f>
        <v>0</v>
      </c>
      <c r="H131" s="69" t="n">
        <f aca="false">VLOOKUP($A131,BD_Items,8,0)*$N131</f>
        <v>0</v>
      </c>
      <c r="I131" s="69" t="n">
        <f aca="false">VLOOKUP($A131,BD_Items,9,0)*$N131</f>
        <v>0</v>
      </c>
      <c r="J131" s="69" t="n">
        <f aca="false">VLOOKUP($A131,BD_Items,10,0)*$N131</f>
        <v>0</v>
      </c>
      <c r="K131" s="69" t="n">
        <f aca="false">VLOOKUP($A131,BD_Items,11,0)*$N131</f>
        <v>0</v>
      </c>
      <c r="L131" s="69" t="n">
        <f aca="false">VLOOKUP($A131,BD_Items,12,0)*$N131</f>
        <v>0</v>
      </c>
      <c r="M131" s="70" t="n">
        <f aca="false">VLOOKUP($A131,BD_Items,13,0)</f>
        <v>0</v>
      </c>
      <c r="N131" s="21" t="n">
        <v>1</v>
      </c>
      <c r="O131" s="71" t="n">
        <f aca="false">M131*N131</f>
        <v>0</v>
      </c>
      <c r="P131" s="68" t="n">
        <f aca="false">(D131*$N131)*(1+$S$1)</f>
        <v>0</v>
      </c>
      <c r="Q131" s="68" t="n">
        <f aca="false">(E131*$N131)*(1+$S$1)</f>
        <v>0</v>
      </c>
      <c r="R131" s="68" t="n">
        <f aca="false">(F131*$N131)*(1+$S$1)</f>
        <v>0</v>
      </c>
      <c r="S131" s="68" t="n">
        <f aca="false">(G131*$N131)*(1+$S$1)</f>
        <v>0</v>
      </c>
      <c r="T131" s="55" t="str">
        <f aca="false">VLOOKUP($A131,BD_Items,20,0)</f>
        <v>na</v>
      </c>
      <c r="Y131" s="1"/>
      <c r="Z131" s="1"/>
      <c r="AA131" s="1"/>
    </row>
    <row r="132" customFormat="false" ht="12.8" hidden="false" customHeight="false" outlineLevel="0" collapsed="false">
      <c r="A132" s="45" t="s">
        <v>148</v>
      </c>
      <c r="B132" s="67" t="n">
        <v>0</v>
      </c>
      <c r="C132" s="67" t="n">
        <v>0</v>
      </c>
      <c r="D132" s="68" t="n">
        <f aca="false">VLOOKUP($A132,BD_Items,4,0)</f>
        <v>0</v>
      </c>
      <c r="E132" s="68" t="n">
        <f aca="false">VLOOKUP($A132,BD_Items,5,0)</f>
        <v>0</v>
      </c>
      <c r="F132" s="68" t="n">
        <f aca="false">VLOOKUP($A132,BD_Items,6,0)</f>
        <v>0</v>
      </c>
      <c r="G132" s="68" t="n">
        <f aca="false">VLOOKUP($A132,BD_Items,7,0)</f>
        <v>0</v>
      </c>
      <c r="H132" s="69" t="n">
        <f aca="false">VLOOKUP($A132,BD_Items,8,0)*$N132</f>
        <v>0</v>
      </c>
      <c r="I132" s="69" t="n">
        <f aca="false">VLOOKUP($A132,BD_Items,9,0)*$N132</f>
        <v>0</v>
      </c>
      <c r="J132" s="69" t="n">
        <f aca="false">VLOOKUP($A132,BD_Items,10,0)*$N132</f>
        <v>0</v>
      </c>
      <c r="K132" s="69" t="n">
        <f aca="false">VLOOKUP($A132,BD_Items,11,0)*$N132</f>
        <v>0</v>
      </c>
      <c r="L132" s="69" t="n">
        <f aca="false">VLOOKUP($A132,BD_Items,12,0)*$N132</f>
        <v>0</v>
      </c>
      <c r="M132" s="70" t="n">
        <f aca="false">VLOOKUP($A132,BD_Items,13,0)</f>
        <v>0</v>
      </c>
      <c r="N132" s="21" t="n">
        <v>1</v>
      </c>
      <c r="O132" s="71" t="n">
        <f aca="false">M132*N132</f>
        <v>0</v>
      </c>
      <c r="P132" s="68" t="n">
        <f aca="false">(D132*$N132)*(1+$S$1)</f>
        <v>0</v>
      </c>
      <c r="Q132" s="68" t="n">
        <f aca="false">(E132*$N132)*(1+$S$1)</f>
        <v>0</v>
      </c>
      <c r="R132" s="68" t="n">
        <f aca="false">(F132*$N132)*(1+$S$1)</f>
        <v>0</v>
      </c>
      <c r="S132" s="68" t="n">
        <f aca="false">(G132*$N132)*(1+$S$1)</f>
        <v>0</v>
      </c>
      <c r="T132" s="55" t="str">
        <f aca="false">VLOOKUP($A132,BD_Items,20,0)</f>
        <v>na</v>
      </c>
      <c r="Y132" s="1"/>
      <c r="Z132" s="1"/>
      <c r="AA132" s="1"/>
    </row>
    <row r="133" customFormat="false" ht="12.8" hidden="false" customHeight="false" outlineLevel="0" collapsed="false">
      <c r="A133" s="45" t="s">
        <v>148</v>
      </c>
      <c r="B133" s="67" t="n">
        <v>0</v>
      </c>
      <c r="C133" s="67" t="n">
        <v>0</v>
      </c>
      <c r="D133" s="68" t="n">
        <f aca="false">VLOOKUP($A133,BD_Items,4,0)</f>
        <v>0</v>
      </c>
      <c r="E133" s="68" t="n">
        <f aca="false">VLOOKUP($A133,BD_Items,5,0)</f>
        <v>0</v>
      </c>
      <c r="F133" s="68" t="n">
        <f aca="false">VLOOKUP($A133,BD_Items,6,0)</f>
        <v>0</v>
      </c>
      <c r="G133" s="68" t="n">
        <f aca="false">VLOOKUP($A133,BD_Items,7,0)</f>
        <v>0</v>
      </c>
      <c r="H133" s="69" t="n">
        <f aca="false">VLOOKUP($A133,BD_Items,8,0)*$N133</f>
        <v>0</v>
      </c>
      <c r="I133" s="69" t="n">
        <f aca="false">VLOOKUP($A133,BD_Items,9,0)*$N133</f>
        <v>0</v>
      </c>
      <c r="J133" s="69" t="n">
        <f aca="false">VLOOKUP($A133,BD_Items,10,0)*$N133</f>
        <v>0</v>
      </c>
      <c r="K133" s="69" t="n">
        <f aca="false">VLOOKUP($A133,BD_Items,11,0)*$N133</f>
        <v>0</v>
      </c>
      <c r="L133" s="69" t="n">
        <f aca="false">VLOOKUP($A133,BD_Items,12,0)*$N133</f>
        <v>0</v>
      </c>
      <c r="M133" s="70" t="n">
        <f aca="false">VLOOKUP($A133,BD_Items,13,0)</f>
        <v>0</v>
      </c>
      <c r="N133" s="21" t="n">
        <v>1</v>
      </c>
      <c r="O133" s="71" t="n">
        <f aca="false">M133*N133</f>
        <v>0</v>
      </c>
      <c r="P133" s="68" t="n">
        <f aca="false">(D133*$N133)*(1+$S$1)</f>
        <v>0</v>
      </c>
      <c r="Q133" s="68" t="n">
        <f aca="false">(E133*$N133)*(1+$S$1)</f>
        <v>0</v>
      </c>
      <c r="R133" s="68" t="n">
        <f aca="false">(F133*$N133)*(1+$S$1)</f>
        <v>0</v>
      </c>
      <c r="S133" s="68" t="n">
        <f aca="false">(G133*$N133)*(1+$S$1)</f>
        <v>0</v>
      </c>
      <c r="T133" s="55" t="str">
        <f aca="false">VLOOKUP($A133,BD_Items,20,0)</f>
        <v>na</v>
      </c>
      <c r="Y133" s="1"/>
      <c r="Z133" s="1"/>
      <c r="AA133" s="1"/>
    </row>
    <row r="134" customFormat="false" ht="12.8" hidden="false" customHeight="false" outlineLevel="0" collapsed="false">
      <c r="A134" s="45" t="s">
        <v>148</v>
      </c>
      <c r="B134" s="67" t="n">
        <v>0</v>
      </c>
      <c r="C134" s="67" t="n">
        <v>0</v>
      </c>
      <c r="D134" s="68" t="n">
        <f aca="false">VLOOKUP($A134,BD_Items,4,0)</f>
        <v>0</v>
      </c>
      <c r="E134" s="68" t="n">
        <f aca="false">VLOOKUP($A134,BD_Items,5,0)</f>
        <v>0</v>
      </c>
      <c r="F134" s="68" t="n">
        <f aca="false">VLOOKUP($A134,BD_Items,6,0)</f>
        <v>0</v>
      </c>
      <c r="G134" s="68" t="n">
        <f aca="false">VLOOKUP($A134,BD_Items,7,0)</f>
        <v>0</v>
      </c>
      <c r="H134" s="69" t="n">
        <f aca="false">VLOOKUP($A134,BD_Items,8,0)*$N134</f>
        <v>0</v>
      </c>
      <c r="I134" s="69" t="n">
        <f aca="false">VLOOKUP($A134,BD_Items,9,0)*$N134</f>
        <v>0</v>
      </c>
      <c r="J134" s="69" t="n">
        <f aca="false">VLOOKUP($A134,BD_Items,10,0)*$N134</f>
        <v>0</v>
      </c>
      <c r="K134" s="69" t="n">
        <f aca="false">VLOOKUP($A134,BD_Items,11,0)*$N134</f>
        <v>0</v>
      </c>
      <c r="L134" s="69" t="n">
        <f aca="false">VLOOKUP($A134,BD_Items,12,0)*$N134</f>
        <v>0</v>
      </c>
      <c r="M134" s="70" t="n">
        <f aca="false">VLOOKUP($A134,BD_Items,13,0)</f>
        <v>0</v>
      </c>
      <c r="N134" s="21" t="n">
        <v>1</v>
      </c>
      <c r="O134" s="71" t="n">
        <f aca="false">M134*N134</f>
        <v>0</v>
      </c>
      <c r="P134" s="68" t="n">
        <f aca="false">(D134*$N134)*(1+$S$1)</f>
        <v>0</v>
      </c>
      <c r="Q134" s="68" t="n">
        <f aca="false">(E134*$N134)*(1+$S$1)</f>
        <v>0</v>
      </c>
      <c r="R134" s="68" t="n">
        <f aca="false">(F134*$N134)*(1+$S$1)</f>
        <v>0</v>
      </c>
      <c r="S134" s="68" t="n">
        <f aca="false">(G134*$N134)*(1+$S$1)</f>
        <v>0</v>
      </c>
      <c r="T134" s="55" t="str">
        <f aca="false">VLOOKUP($A134,BD_Items,20,0)</f>
        <v>na</v>
      </c>
      <c r="Y134" s="1"/>
      <c r="Z134" s="1"/>
      <c r="AA134" s="1"/>
    </row>
    <row r="135" customFormat="false" ht="12.8" hidden="false" customHeight="false" outlineLevel="0" collapsed="false">
      <c r="A135" s="45" t="s">
        <v>148</v>
      </c>
      <c r="B135" s="67" t="n">
        <v>0</v>
      </c>
      <c r="C135" s="67" t="n">
        <v>0</v>
      </c>
      <c r="D135" s="68" t="n">
        <f aca="false">VLOOKUP($A135,BD_Items,4,0)</f>
        <v>0</v>
      </c>
      <c r="E135" s="68" t="n">
        <f aca="false">VLOOKUP($A135,BD_Items,5,0)</f>
        <v>0</v>
      </c>
      <c r="F135" s="68" t="n">
        <f aca="false">VLOOKUP($A135,BD_Items,6,0)</f>
        <v>0</v>
      </c>
      <c r="G135" s="68" t="n">
        <f aca="false">VLOOKUP($A135,BD_Items,7,0)</f>
        <v>0</v>
      </c>
      <c r="H135" s="69" t="n">
        <f aca="false">VLOOKUP($A135,BD_Items,8,0)*$N135</f>
        <v>0</v>
      </c>
      <c r="I135" s="69" t="n">
        <f aca="false">VLOOKUP($A135,BD_Items,9,0)*$N135</f>
        <v>0</v>
      </c>
      <c r="J135" s="69" t="n">
        <f aca="false">VLOOKUP($A135,BD_Items,10,0)*$N135</f>
        <v>0</v>
      </c>
      <c r="K135" s="69" t="n">
        <f aca="false">VLOOKUP($A135,BD_Items,11,0)*$N135</f>
        <v>0</v>
      </c>
      <c r="L135" s="69" t="n">
        <f aca="false">VLOOKUP($A135,BD_Items,12,0)*$N135</f>
        <v>0</v>
      </c>
      <c r="M135" s="70" t="n">
        <f aca="false">VLOOKUP($A135,BD_Items,13,0)</f>
        <v>0</v>
      </c>
      <c r="N135" s="21" t="n">
        <v>1</v>
      </c>
      <c r="O135" s="71" t="n">
        <f aca="false">M135*N135</f>
        <v>0</v>
      </c>
      <c r="P135" s="68" t="n">
        <f aca="false">(D135*$N135)*(1+$S$1)</f>
        <v>0</v>
      </c>
      <c r="Q135" s="68" t="n">
        <f aca="false">(E135*$N135)*(1+$S$1)</f>
        <v>0</v>
      </c>
      <c r="R135" s="68" t="n">
        <f aca="false">(F135*$N135)*(1+$S$1)</f>
        <v>0</v>
      </c>
      <c r="S135" s="68" t="n">
        <f aca="false">(G135*$N135)*(1+$S$1)</f>
        <v>0</v>
      </c>
      <c r="T135" s="55" t="str">
        <f aca="false">VLOOKUP($A135,BD_Items,20,0)</f>
        <v>na</v>
      </c>
      <c r="Y135" s="1"/>
      <c r="Z135" s="1"/>
      <c r="AA135" s="1"/>
    </row>
    <row r="136" customFormat="false" ht="12.8" hidden="false" customHeight="false" outlineLevel="0" collapsed="false">
      <c r="A136" s="63" t="s">
        <v>321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6"/>
      <c r="N136" s="65"/>
      <c r="O136" s="66" t="n">
        <f aca="false">SUM(O137:O142)</f>
        <v>0</v>
      </c>
      <c r="P136" s="65" t="n">
        <f aca="false">SUM(P137:P142)</f>
        <v>0</v>
      </c>
      <c r="Q136" s="65" t="n">
        <f aca="false">SUM(Q137:Q142)</f>
        <v>0</v>
      </c>
      <c r="R136" s="65" t="n">
        <f aca="false">SUM(R137:R142)</f>
        <v>0</v>
      </c>
      <c r="S136" s="65" t="n">
        <f aca="false">SUM(S137:S142)</f>
        <v>0</v>
      </c>
      <c r="T136" s="46"/>
      <c r="Y136" s="1"/>
      <c r="Z136" s="1"/>
      <c r="AA136" s="1"/>
    </row>
    <row r="137" customFormat="false" ht="12.8" hidden="false" customHeight="false" outlineLevel="0" collapsed="false">
      <c r="A137" s="30" t="s">
        <v>148</v>
      </c>
      <c r="B137" s="67" t="n">
        <f aca="false">VLOOKUP($A137,BD_Items,2,0)</f>
        <v>0</v>
      </c>
      <c r="C137" s="67" t="n">
        <f aca="false">VLOOKUP($A137,BD_Items,3,0)</f>
        <v>0</v>
      </c>
      <c r="D137" s="68" t="n">
        <f aca="false">VLOOKUP($A137,BD_Items,4,0)</f>
        <v>0</v>
      </c>
      <c r="E137" s="68" t="n">
        <f aca="false">VLOOKUP($A137,BD_Items,5,0)</f>
        <v>0</v>
      </c>
      <c r="F137" s="68" t="n">
        <f aca="false">VLOOKUP($A137,BD_Items,6,0)</f>
        <v>0</v>
      </c>
      <c r="G137" s="68" t="n">
        <f aca="false">VLOOKUP($A137,BD_Items,7,0)</f>
        <v>0</v>
      </c>
      <c r="H137" s="69" t="n">
        <f aca="false">VLOOKUP($A137,BD_Items,8,0)*$N137</f>
        <v>0</v>
      </c>
      <c r="I137" s="69" t="n">
        <f aca="false">VLOOKUP($A137,BD_Items,9,0)*$N137</f>
        <v>0</v>
      </c>
      <c r="J137" s="69" t="n">
        <f aca="false">VLOOKUP($A137,BD_Items,10,0)*$N137</f>
        <v>0</v>
      </c>
      <c r="K137" s="69" t="n">
        <f aca="false">VLOOKUP($A137,BD_Items,11,0)*$N137</f>
        <v>0</v>
      </c>
      <c r="L137" s="69" t="n">
        <f aca="false">VLOOKUP($A137,BD_Items,12,0)*$N137</f>
        <v>0</v>
      </c>
      <c r="M137" s="70" t="n">
        <f aca="false">VLOOKUP($A137,BD_Items,13,0)</f>
        <v>0</v>
      </c>
      <c r="N137" s="21" t="n">
        <v>1</v>
      </c>
      <c r="O137" s="71" t="n">
        <f aca="false">M137*N137</f>
        <v>0</v>
      </c>
      <c r="P137" s="68" t="n">
        <f aca="false">(D137*$N137)*(1+$S$1)</f>
        <v>0</v>
      </c>
      <c r="Q137" s="68" t="n">
        <f aca="false">(E137*$N137)*(1+$S$1)</f>
        <v>0</v>
      </c>
      <c r="R137" s="68" t="n">
        <f aca="false">(F137*$N137)*(1+$S$1)</f>
        <v>0</v>
      </c>
      <c r="S137" s="68" t="n">
        <f aca="false">(G137*$N137)*(1+$S$1)</f>
        <v>0</v>
      </c>
      <c r="T137" s="55" t="str">
        <f aca="false">VLOOKUP($A137,BD_Items,20,0)</f>
        <v>na</v>
      </c>
      <c r="Y137" s="1"/>
      <c r="Z137" s="1"/>
      <c r="AA137" s="1"/>
    </row>
    <row r="138" customFormat="false" ht="12.8" hidden="false" customHeight="false" outlineLevel="0" collapsed="false">
      <c r="A138" s="45" t="s">
        <v>148</v>
      </c>
      <c r="B138" s="67" t="n">
        <v>0</v>
      </c>
      <c r="C138" s="67" t="n">
        <v>0</v>
      </c>
      <c r="D138" s="68" t="n">
        <f aca="false">VLOOKUP($A138,BD_Items,4,0)</f>
        <v>0</v>
      </c>
      <c r="E138" s="68" t="n">
        <f aca="false">VLOOKUP($A138,BD_Items,5,0)</f>
        <v>0</v>
      </c>
      <c r="F138" s="68" t="n">
        <f aca="false">VLOOKUP($A138,BD_Items,6,0)</f>
        <v>0</v>
      </c>
      <c r="G138" s="68" t="n">
        <f aca="false">VLOOKUP($A138,BD_Items,7,0)</f>
        <v>0</v>
      </c>
      <c r="H138" s="69" t="n">
        <f aca="false">VLOOKUP($A138,BD_Items,8,0)*$N138</f>
        <v>0</v>
      </c>
      <c r="I138" s="69" t="n">
        <f aca="false">VLOOKUP($A138,BD_Items,9,0)*$N138</f>
        <v>0</v>
      </c>
      <c r="J138" s="69" t="n">
        <f aca="false">VLOOKUP($A138,BD_Items,10,0)*$N138</f>
        <v>0</v>
      </c>
      <c r="K138" s="69" t="n">
        <f aca="false">VLOOKUP($A138,BD_Items,11,0)*$N138</f>
        <v>0</v>
      </c>
      <c r="L138" s="69" t="n">
        <f aca="false">VLOOKUP($A138,BD_Items,12,0)*$N138</f>
        <v>0</v>
      </c>
      <c r="M138" s="70" t="n">
        <f aca="false">VLOOKUP($A138,BD_Items,13,0)</f>
        <v>0</v>
      </c>
      <c r="N138" s="21" t="n">
        <v>1</v>
      </c>
      <c r="O138" s="71" t="n">
        <f aca="false">M138*N138</f>
        <v>0</v>
      </c>
      <c r="P138" s="68" t="n">
        <f aca="false">(D138*$N138)*(1+$S$1)</f>
        <v>0</v>
      </c>
      <c r="Q138" s="68" t="n">
        <f aca="false">(E138*$N138)*(1+$S$1)</f>
        <v>0</v>
      </c>
      <c r="R138" s="68" t="n">
        <f aca="false">(F138*$N138)*(1+$S$1)</f>
        <v>0</v>
      </c>
      <c r="S138" s="68" t="n">
        <f aca="false">(G138*$N138)*(1+$S$1)</f>
        <v>0</v>
      </c>
      <c r="T138" s="55" t="str">
        <f aca="false">VLOOKUP($A138,BD_Items,20,0)</f>
        <v>na</v>
      </c>
      <c r="Y138" s="1"/>
      <c r="Z138" s="1"/>
      <c r="AA138" s="1"/>
    </row>
    <row r="139" customFormat="false" ht="12.8" hidden="false" customHeight="false" outlineLevel="0" collapsed="false">
      <c r="A139" s="45" t="s">
        <v>148</v>
      </c>
      <c r="B139" s="67" t="n">
        <v>0</v>
      </c>
      <c r="C139" s="67" t="n">
        <v>0</v>
      </c>
      <c r="D139" s="68" t="n">
        <f aca="false">VLOOKUP($A139,BD_Items,4,0)</f>
        <v>0</v>
      </c>
      <c r="E139" s="68" t="n">
        <f aca="false">VLOOKUP($A139,BD_Items,5,0)</f>
        <v>0</v>
      </c>
      <c r="F139" s="68" t="n">
        <f aca="false">VLOOKUP($A139,BD_Items,6,0)</f>
        <v>0</v>
      </c>
      <c r="G139" s="68" t="n">
        <f aca="false">VLOOKUP($A139,BD_Items,7,0)</f>
        <v>0</v>
      </c>
      <c r="H139" s="69" t="n">
        <f aca="false">VLOOKUP($A139,BD_Items,8,0)*$N139</f>
        <v>0</v>
      </c>
      <c r="I139" s="69" t="n">
        <f aca="false">VLOOKUP($A139,BD_Items,9,0)*$N139</f>
        <v>0</v>
      </c>
      <c r="J139" s="69" t="n">
        <f aca="false">VLOOKUP($A139,BD_Items,10,0)*$N139</f>
        <v>0</v>
      </c>
      <c r="K139" s="69" t="n">
        <f aca="false">VLOOKUP($A139,BD_Items,11,0)*$N139</f>
        <v>0</v>
      </c>
      <c r="L139" s="69" t="n">
        <f aca="false">VLOOKUP($A139,BD_Items,12,0)*$N139</f>
        <v>0</v>
      </c>
      <c r="M139" s="70" t="n">
        <f aca="false">VLOOKUP($A139,BD_Items,13,0)</f>
        <v>0</v>
      </c>
      <c r="N139" s="21" t="n">
        <v>1</v>
      </c>
      <c r="O139" s="71" t="n">
        <f aca="false">M139*N139</f>
        <v>0</v>
      </c>
      <c r="P139" s="68" t="n">
        <f aca="false">(D139*$N139)*(1+$S$1)</f>
        <v>0</v>
      </c>
      <c r="Q139" s="68" t="n">
        <f aca="false">(E139*$N139)*(1+$S$1)</f>
        <v>0</v>
      </c>
      <c r="R139" s="68" t="n">
        <f aca="false">(F139*$N139)*(1+$S$1)</f>
        <v>0</v>
      </c>
      <c r="S139" s="68" t="n">
        <f aca="false">(G139*$N139)*(1+$S$1)</f>
        <v>0</v>
      </c>
      <c r="T139" s="55" t="str">
        <f aca="false">VLOOKUP($A139,BD_Items,20,0)</f>
        <v>na</v>
      </c>
      <c r="Y139" s="1"/>
      <c r="Z139" s="1"/>
      <c r="AA139" s="1"/>
    </row>
    <row r="140" customFormat="false" ht="12.8" hidden="false" customHeight="false" outlineLevel="0" collapsed="false">
      <c r="A140" s="45" t="s">
        <v>148</v>
      </c>
      <c r="B140" s="67" t="n">
        <v>0</v>
      </c>
      <c r="C140" s="67" t="n">
        <v>0</v>
      </c>
      <c r="D140" s="68" t="n">
        <f aca="false">VLOOKUP($A140,BD_Items,4,0)</f>
        <v>0</v>
      </c>
      <c r="E140" s="68" t="n">
        <f aca="false">VLOOKUP($A140,BD_Items,5,0)</f>
        <v>0</v>
      </c>
      <c r="F140" s="68" t="n">
        <f aca="false">VLOOKUP($A140,BD_Items,6,0)</f>
        <v>0</v>
      </c>
      <c r="G140" s="68" t="n">
        <f aca="false">VLOOKUP($A140,BD_Items,7,0)</f>
        <v>0</v>
      </c>
      <c r="H140" s="69" t="n">
        <f aca="false">VLOOKUP($A140,BD_Items,8,0)*$N140</f>
        <v>0</v>
      </c>
      <c r="I140" s="69" t="n">
        <f aca="false">VLOOKUP($A140,BD_Items,9,0)*$N140</f>
        <v>0</v>
      </c>
      <c r="J140" s="69" t="n">
        <f aca="false">VLOOKUP($A140,BD_Items,10,0)*$N140</f>
        <v>0</v>
      </c>
      <c r="K140" s="69" t="n">
        <f aca="false">VLOOKUP($A140,BD_Items,11,0)*$N140</f>
        <v>0</v>
      </c>
      <c r="L140" s="69" t="n">
        <f aca="false">VLOOKUP($A140,BD_Items,12,0)*$N140</f>
        <v>0</v>
      </c>
      <c r="M140" s="70" t="n">
        <f aca="false">VLOOKUP($A140,BD_Items,13,0)</f>
        <v>0</v>
      </c>
      <c r="N140" s="21" t="n">
        <v>1</v>
      </c>
      <c r="O140" s="71" t="n">
        <f aca="false">M140*N140</f>
        <v>0</v>
      </c>
      <c r="P140" s="68" t="n">
        <f aca="false">(D140*$N140)*(1+$S$1)</f>
        <v>0</v>
      </c>
      <c r="Q140" s="68" t="n">
        <f aca="false">(E140*$N140)*(1+$S$1)</f>
        <v>0</v>
      </c>
      <c r="R140" s="68" t="n">
        <f aca="false">(F140*$N140)*(1+$S$1)</f>
        <v>0</v>
      </c>
      <c r="S140" s="68" t="n">
        <f aca="false">(G140*$N140)*(1+$S$1)</f>
        <v>0</v>
      </c>
      <c r="T140" s="55" t="str">
        <f aca="false">VLOOKUP($A140,BD_Items,20,0)</f>
        <v>na</v>
      </c>
      <c r="Y140" s="1"/>
      <c r="Z140" s="1"/>
      <c r="AA140" s="1"/>
    </row>
    <row r="141" customFormat="false" ht="12.8" hidden="false" customHeight="false" outlineLevel="0" collapsed="false">
      <c r="A141" s="45" t="s">
        <v>148</v>
      </c>
      <c r="B141" s="67" t="n">
        <v>0</v>
      </c>
      <c r="C141" s="67" t="n">
        <v>0</v>
      </c>
      <c r="D141" s="68" t="n">
        <f aca="false">VLOOKUP($A141,BD_Items,4,0)</f>
        <v>0</v>
      </c>
      <c r="E141" s="68" t="n">
        <f aca="false">VLOOKUP($A141,BD_Items,5,0)</f>
        <v>0</v>
      </c>
      <c r="F141" s="68" t="n">
        <f aca="false">VLOOKUP($A141,BD_Items,6,0)</f>
        <v>0</v>
      </c>
      <c r="G141" s="68" t="n">
        <f aca="false">VLOOKUP($A141,BD_Items,7,0)</f>
        <v>0</v>
      </c>
      <c r="H141" s="69" t="n">
        <f aca="false">VLOOKUP($A141,BD_Items,8,0)*$N141</f>
        <v>0</v>
      </c>
      <c r="I141" s="69" t="n">
        <f aca="false">VLOOKUP($A141,BD_Items,9,0)*$N141</f>
        <v>0</v>
      </c>
      <c r="J141" s="69" t="n">
        <f aca="false">VLOOKUP($A141,BD_Items,10,0)*$N141</f>
        <v>0</v>
      </c>
      <c r="K141" s="69" t="n">
        <f aca="false">VLOOKUP($A141,BD_Items,11,0)*$N141</f>
        <v>0</v>
      </c>
      <c r="L141" s="69" t="n">
        <f aca="false">VLOOKUP($A141,BD_Items,12,0)*$N141</f>
        <v>0</v>
      </c>
      <c r="M141" s="70" t="n">
        <f aca="false">VLOOKUP($A141,BD_Items,13,0)</f>
        <v>0</v>
      </c>
      <c r="N141" s="21" t="n">
        <v>1</v>
      </c>
      <c r="O141" s="71" t="n">
        <f aca="false">M141*N141</f>
        <v>0</v>
      </c>
      <c r="P141" s="68" t="n">
        <f aca="false">(D141*$N141)*(1+$S$1)</f>
        <v>0</v>
      </c>
      <c r="Q141" s="68" t="n">
        <f aca="false">(E141*$N141)*(1+$S$1)</f>
        <v>0</v>
      </c>
      <c r="R141" s="68" t="n">
        <f aca="false">(F141*$N141)*(1+$S$1)</f>
        <v>0</v>
      </c>
      <c r="S141" s="68" t="n">
        <f aca="false">(G141*$N141)*(1+$S$1)</f>
        <v>0</v>
      </c>
      <c r="T141" s="55" t="str">
        <f aca="false">VLOOKUP($A141,BD_Items,20,0)</f>
        <v>na</v>
      </c>
      <c r="Y141" s="1"/>
      <c r="Z141" s="1"/>
      <c r="AA141" s="1"/>
    </row>
    <row r="142" customFormat="false" ht="12.8" hidden="false" customHeight="false" outlineLevel="0" collapsed="false">
      <c r="A142" s="45" t="s">
        <v>148</v>
      </c>
      <c r="B142" s="67" t="n">
        <v>0</v>
      </c>
      <c r="C142" s="67" t="n">
        <v>0</v>
      </c>
      <c r="D142" s="68" t="n">
        <f aca="false">VLOOKUP($A142,BD_Items,4,0)</f>
        <v>0</v>
      </c>
      <c r="E142" s="68" t="n">
        <f aca="false">VLOOKUP($A142,BD_Items,5,0)</f>
        <v>0</v>
      </c>
      <c r="F142" s="68" t="n">
        <f aca="false">VLOOKUP($A142,BD_Items,6,0)</f>
        <v>0</v>
      </c>
      <c r="G142" s="68" t="n">
        <f aca="false">VLOOKUP($A142,BD_Items,7,0)</f>
        <v>0</v>
      </c>
      <c r="H142" s="69" t="n">
        <f aca="false">VLOOKUP($A142,BD_Items,8,0)*$N142</f>
        <v>0</v>
      </c>
      <c r="I142" s="69" t="n">
        <f aca="false">VLOOKUP($A142,BD_Items,9,0)*$N142</f>
        <v>0</v>
      </c>
      <c r="J142" s="69" t="n">
        <f aca="false">VLOOKUP($A142,BD_Items,10,0)*$N142</f>
        <v>0</v>
      </c>
      <c r="K142" s="69" t="n">
        <f aca="false">VLOOKUP($A142,BD_Items,11,0)*$N142</f>
        <v>0</v>
      </c>
      <c r="L142" s="69" t="n">
        <f aca="false">VLOOKUP($A142,BD_Items,12,0)*$N142</f>
        <v>0</v>
      </c>
      <c r="M142" s="70" t="n">
        <f aca="false">VLOOKUP($A142,BD_Items,13,0)</f>
        <v>0</v>
      </c>
      <c r="N142" s="21" t="n">
        <v>1</v>
      </c>
      <c r="O142" s="71" t="n">
        <f aca="false">M142*N142</f>
        <v>0</v>
      </c>
      <c r="P142" s="68" t="n">
        <f aca="false">(D142*$N142)*(1+$S$1)</f>
        <v>0</v>
      </c>
      <c r="Q142" s="68" t="n">
        <f aca="false">(E142*$N142)*(1+$S$1)</f>
        <v>0</v>
      </c>
      <c r="R142" s="68" t="n">
        <f aca="false">(F142*$N142)*(1+$S$1)</f>
        <v>0</v>
      </c>
      <c r="S142" s="68" t="n">
        <f aca="false">(G142*$N142)*(1+$S$1)</f>
        <v>0</v>
      </c>
      <c r="T142" s="55" t="str">
        <f aca="false">VLOOKUP($A142,BD_Items,20,0)</f>
        <v>na</v>
      </c>
      <c r="Y142" s="1"/>
      <c r="Z142" s="1"/>
      <c r="AA142" s="1"/>
    </row>
    <row r="143" customFormat="false" ht="12.8" hidden="false" customHeight="false" outlineLevel="0" collapsed="false">
      <c r="A143" s="63" t="s">
        <v>322</v>
      </c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6"/>
      <c r="N143" s="65"/>
      <c r="O143" s="66" t="n">
        <f aca="false">SUM(O144:O149)</f>
        <v>0</v>
      </c>
      <c r="P143" s="65" t="n">
        <f aca="false">SUM(P144:P149)</f>
        <v>0</v>
      </c>
      <c r="Q143" s="65" t="n">
        <f aca="false">SUM(Q144:Q149)</f>
        <v>0</v>
      </c>
      <c r="R143" s="65" t="n">
        <f aca="false">SUM(R144:R149)</f>
        <v>0</v>
      </c>
      <c r="S143" s="65" t="n">
        <f aca="false">SUM(S144:S149)</f>
        <v>0</v>
      </c>
      <c r="T143" s="46"/>
      <c r="Y143" s="1"/>
      <c r="Z143" s="1"/>
      <c r="AA143" s="1"/>
    </row>
    <row r="144" customFormat="false" ht="12.8" hidden="false" customHeight="false" outlineLevel="0" collapsed="false">
      <c r="A144" s="30" t="s">
        <v>148</v>
      </c>
      <c r="B144" s="67" t="n">
        <f aca="false">VLOOKUP($A144,BD_Items,2,0)</f>
        <v>0</v>
      </c>
      <c r="C144" s="67" t="n">
        <f aca="false">VLOOKUP($A144,BD_Items,3,0)</f>
        <v>0</v>
      </c>
      <c r="D144" s="68" t="n">
        <f aca="false">VLOOKUP($A144,BD_Items,4,0)</f>
        <v>0</v>
      </c>
      <c r="E144" s="68" t="n">
        <f aca="false">VLOOKUP($A144,BD_Items,5,0)</f>
        <v>0</v>
      </c>
      <c r="F144" s="68" t="n">
        <f aca="false">VLOOKUP($A144,BD_Items,6,0)</f>
        <v>0</v>
      </c>
      <c r="G144" s="68" t="n">
        <f aca="false">VLOOKUP($A144,BD_Items,7,0)</f>
        <v>0</v>
      </c>
      <c r="H144" s="69" t="n">
        <f aca="false">VLOOKUP($A144,BD_Items,8,0)*$N144</f>
        <v>0</v>
      </c>
      <c r="I144" s="69" t="n">
        <f aca="false">VLOOKUP($A144,BD_Items,9,0)*$N144</f>
        <v>0</v>
      </c>
      <c r="J144" s="69" t="n">
        <f aca="false">VLOOKUP($A144,BD_Items,10,0)*$N144</f>
        <v>0</v>
      </c>
      <c r="K144" s="69" t="n">
        <f aca="false">VLOOKUP($A144,BD_Items,11,0)*$N144</f>
        <v>0</v>
      </c>
      <c r="L144" s="69" t="n">
        <f aca="false">VLOOKUP($A144,BD_Items,12,0)*$N144</f>
        <v>0</v>
      </c>
      <c r="M144" s="70" t="n">
        <f aca="false">VLOOKUP($A144,BD_Items,13,0)</f>
        <v>0</v>
      </c>
      <c r="N144" s="21" t="n">
        <v>1</v>
      </c>
      <c r="O144" s="71" t="n">
        <f aca="false">M144*N144</f>
        <v>0</v>
      </c>
      <c r="P144" s="68" t="n">
        <f aca="false">(D144*$N144)*(1+$S$1)</f>
        <v>0</v>
      </c>
      <c r="Q144" s="68" t="n">
        <f aca="false">(E144*$N144)*(1+$S$1)</f>
        <v>0</v>
      </c>
      <c r="R144" s="68" t="n">
        <f aca="false">(F144*$N144)*(1+$S$1)</f>
        <v>0</v>
      </c>
      <c r="S144" s="68" t="n">
        <f aca="false">(G144*$N144)*(1+$S$1)</f>
        <v>0</v>
      </c>
      <c r="T144" s="55" t="str">
        <f aca="false">VLOOKUP($A144,BD_Items,20,0)</f>
        <v>na</v>
      </c>
      <c r="Y144" s="1"/>
      <c r="Z144" s="1"/>
      <c r="AA144" s="1"/>
    </row>
    <row r="145" customFormat="false" ht="12.8" hidden="false" customHeight="false" outlineLevel="0" collapsed="false">
      <c r="A145" s="45" t="s">
        <v>148</v>
      </c>
      <c r="B145" s="67" t="n">
        <v>0</v>
      </c>
      <c r="C145" s="67" t="n">
        <v>0</v>
      </c>
      <c r="D145" s="68" t="n">
        <f aca="false">VLOOKUP($A145,BD_Items,4,0)</f>
        <v>0</v>
      </c>
      <c r="E145" s="68" t="n">
        <f aca="false">VLOOKUP($A145,BD_Items,5,0)</f>
        <v>0</v>
      </c>
      <c r="F145" s="68" t="n">
        <f aca="false">VLOOKUP($A145,BD_Items,6,0)</f>
        <v>0</v>
      </c>
      <c r="G145" s="68" t="n">
        <f aca="false">VLOOKUP($A145,BD_Items,7,0)</f>
        <v>0</v>
      </c>
      <c r="H145" s="69" t="n">
        <f aca="false">VLOOKUP($A145,BD_Items,8,0)*$N145</f>
        <v>0</v>
      </c>
      <c r="I145" s="69" t="n">
        <f aca="false">VLOOKUP($A145,BD_Items,9,0)*$N145</f>
        <v>0</v>
      </c>
      <c r="J145" s="69" t="n">
        <f aca="false">VLOOKUP($A145,BD_Items,10,0)*$N145</f>
        <v>0</v>
      </c>
      <c r="K145" s="69" t="n">
        <f aca="false">VLOOKUP($A145,BD_Items,11,0)*$N145</f>
        <v>0</v>
      </c>
      <c r="L145" s="69" t="n">
        <f aca="false">VLOOKUP($A145,BD_Items,12,0)*$N145</f>
        <v>0</v>
      </c>
      <c r="M145" s="70" t="n">
        <f aca="false">VLOOKUP($A145,BD_Items,13,0)</f>
        <v>0</v>
      </c>
      <c r="N145" s="21" t="n">
        <v>1</v>
      </c>
      <c r="O145" s="71" t="n">
        <f aca="false">M145*N145</f>
        <v>0</v>
      </c>
      <c r="P145" s="68" t="n">
        <f aca="false">(D145*$N145)*(1+$S$1)</f>
        <v>0</v>
      </c>
      <c r="Q145" s="68" t="n">
        <f aca="false">(E145*$N145)*(1+$S$1)</f>
        <v>0</v>
      </c>
      <c r="R145" s="68" t="n">
        <f aca="false">(F145*$N145)*(1+$S$1)</f>
        <v>0</v>
      </c>
      <c r="S145" s="68" t="n">
        <f aca="false">(G145*$N145)*(1+$S$1)</f>
        <v>0</v>
      </c>
      <c r="T145" s="55" t="str">
        <f aca="false">VLOOKUP($A145,BD_Items,20,0)</f>
        <v>na</v>
      </c>
      <c r="Y145" s="1"/>
      <c r="Z145" s="1"/>
      <c r="AA145" s="1"/>
    </row>
    <row r="146" customFormat="false" ht="12.8" hidden="false" customHeight="false" outlineLevel="0" collapsed="false">
      <c r="A146" s="45" t="s">
        <v>148</v>
      </c>
      <c r="B146" s="67" t="n">
        <v>0</v>
      </c>
      <c r="C146" s="67" t="n">
        <v>0</v>
      </c>
      <c r="D146" s="68" t="n">
        <f aca="false">VLOOKUP($A146,BD_Items,4,0)</f>
        <v>0</v>
      </c>
      <c r="E146" s="68" t="n">
        <f aca="false">VLOOKUP($A146,BD_Items,5,0)</f>
        <v>0</v>
      </c>
      <c r="F146" s="68" t="n">
        <f aca="false">VLOOKUP($A146,BD_Items,6,0)</f>
        <v>0</v>
      </c>
      <c r="G146" s="68" t="n">
        <f aca="false">VLOOKUP($A146,BD_Items,7,0)</f>
        <v>0</v>
      </c>
      <c r="H146" s="69" t="n">
        <f aca="false">VLOOKUP($A146,BD_Items,8,0)*$N146</f>
        <v>0</v>
      </c>
      <c r="I146" s="69" t="n">
        <f aca="false">VLOOKUP($A146,BD_Items,9,0)*$N146</f>
        <v>0</v>
      </c>
      <c r="J146" s="69" t="n">
        <f aca="false">VLOOKUP($A146,BD_Items,10,0)*$N146</f>
        <v>0</v>
      </c>
      <c r="K146" s="69" t="n">
        <f aca="false">VLOOKUP($A146,BD_Items,11,0)*$N146</f>
        <v>0</v>
      </c>
      <c r="L146" s="69" t="n">
        <f aca="false">VLOOKUP($A146,BD_Items,12,0)*$N146</f>
        <v>0</v>
      </c>
      <c r="M146" s="70" t="n">
        <f aca="false">VLOOKUP($A146,BD_Items,13,0)</f>
        <v>0</v>
      </c>
      <c r="N146" s="21" t="n">
        <v>1</v>
      </c>
      <c r="O146" s="71" t="n">
        <f aca="false">M146*N146</f>
        <v>0</v>
      </c>
      <c r="P146" s="68" t="n">
        <f aca="false">(D146*$N146)*(1+$S$1)</f>
        <v>0</v>
      </c>
      <c r="Q146" s="68" t="n">
        <f aca="false">(E146*$N146)*(1+$S$1)</f>
        <v>0</v>
      </c>
      <c r="R146" s="68" t="n">
        <f aca="false">(F146*$N146)*(1+$S$1)</f>
        <v>0</v>
      </c>
      <c r="S146" s="68" t="n">
        <f aca="false">(G146*$N146)*(1+$S$1)</f>
        <v>0</v>
      </c>
      <c r="T146" s="55" t="str">
        <f aca="false">VLOOKUP($A146,BD_Items,20,0)</f>
        <v>na</v>
      </c>
      <c r="Y146" s="1"/>
      <c r="Z146" s="1"/>
      <c r="AA146" s="1"/>
    </row>
    <row r="147" customFormat="false" ht="12.8" hidden="false" customHeight="false" outlineLevel="0" collapsed="false">
      <c r="A147" s="45" t="s">
        <v>148</v>
      </c>
      <c r="B147" s="67" t="n">
        <v>0</v>
      </c>
      <c r="C147" s="67" t="n">
        <v>0</v>
      </c>
      <c r="D147" s="68" t="n">
        <f aca="false">VLOOKUP($A147,BD_Items,4,0)</f>
        <v>0</v>
      </c>
      <c r="E147" s="68" t="n">
        <f aca="false">VLOOKUP($A147,BD_Items,5,0)</f>
        <v>0</v>
      </c>
      <c r="F147" s="68" t="n">
        <f aca="false">VLOOKUP($A147,BD_Items,6,0)</f>
        <v>0</v>
      </c>
      <c r="G147" s="68" t="n">
        <f aca="false">VLOOKUP($A147,BD_Items,7,0)</f>
        <v>0</v>
      </c>
      <c r="H147" s="69" t="n">
        <f aca="false">VLOOKUP($A147,BD_Items,8,0)*$N147</f>
        <v>0</v>
      </c>
      <c r="I147" s="69" t="n">
        <f aca="false">VLOOKUP($A147,BD_Items,9,0)*$N147</f>
        <v>0</v>
      </c>
      <c r="J147" s="69" t="n">
        <f aca="false">VLOOKUP($A147,BD_Items,10,0)*$N147</f>
        <v>0</v>
      </c>
      <c r="K147" s="69" t="n">
        <f aca="false">VLOOKUP($A147,BD_Items,11,0)*$N147</f>
        <v>0</v>
      </c>
      <c r="L147" s="69" t="n">
        <f aca="false">VLOOKUP($A147,BD_Items,12,0)*$N147</f>
        <v>0</v>
      </c>
      <c r="M147" s="70" t="n">
        <f aca="false">VLOOKUP($A147,BD_Items,13,0)</f>
        <v>0</v>
      </c>
      <c r="N147" s="21" t="n">
        <v>1</v>
      </c>
      <c r="O147" s="71" t="n">
        <f aca="false">M147*N147</f>
        <v>0</v>
      </c>
      <c r="P147" s="68" t="n">
        <f aca="false">(D147*$N147)*(1+$S$1)</f>
        <v>0</v>
      </c>
      <c r="Q147" s="68" t="n">
        <f aca="false">(E147*$N147)*(1+$S$1)</f>
        <v>0</v>
      </c>
      <c r="R147" s="68" t="n">
        <f aca="false">(F147*$N147)*(1+$S$1)</f>
        <v>0</v>
      </c>
      <c r="S147" s="68" t="n">
        <f aca="false">(G147*$N147)*(1+$S$1)</f>
        <v>0</v>
      </c>
      <c r="T147" s="55" t="str">
        <f aca="false">VLOOKUP($A147,BD_Items,20,0)</f>
        <v>na</v>
      </c>
      <c r="Y147" s="1"/>
      <c r="Z147" s="1"/>
      <c r="AA147" s="1"/>
    </row>
    <row r="148" customFormat="false" ht="12.8" hidden="false" customHeight="false" outlineLevel="0" collapsed="false">
      <c r="A148" s="45" t="s">
        <v>148</v>
      </c>
      <c r="B148" s="67" t="n">
        <v>0</v>
      </c>
      <c r="C148" s="67" t="n">
        <v>0</v>
      </c>
      <c r="D148" s="68" t="n">
        <f aca="false">VLOOKUP($A148,BD_Items,4,0)</f>
        <v>0</v>
      </c>
      <c r="E148" s="68" t="n">
        <f aca="false">VLOOKUP($A148,BD_Items,5,0)</f>
        <v>0</v>
      </c>
      <c r="F148" s="68" t="n">
        <f aca="false">VLOOKUP($A148,BD_Items,6,0)</f>
        <v>0</v>
      </c>
      <c r="G148" s="68" t="n">
        <f aca="false">VLOOKUP($A148,BD_Items,7,0)</f>
        <v>0</v>
      </c>
      <c r="H148" s="69" t="n">
        <f aca="false">VLOOKUP($A148,BD_Items,8,0)*$N148</f>
        <v>0</v>
      </c>
      <c r="I148" s="69" t="n">
        <f aca="false">VLOOKUP($A148,BD_Items,9,0)*$N148</f>
        <v>0</v>
      </c>
      <c r="J148" s="69" t="n">
        <f aca="false">VLOOKUP($A148,BD_Items,10,0)*$N148</f>
        <v>0</v>
      </c>
      <c r="K148" s="69" t="n">
        <f aca="false">VLOOKUP($A148,BD_Items,11,0)*$N148</f>
        <v>0</v>
      </c>
      <c r="L148" s="69" t="n">
        <f aca="false">VLOOKUP($A148,BD_Items,12,0)*$N148</f>
        <v>0</v>
      </c>
      <c r="M148" s="70" t="n">
        <f aca="false">VLOOKUP($A148,BD_Items,13,0)</f>
        <v>0</v>
      </c>
      <c r="N148" s="21" t="n">
        <v>1</v>
      </c>
      <c r="O148" s="71" t="n">
        <f aca="false">M148*N148</f>
        <v>0</v>
      </c>
      <c r="P148" s="68" t="n">
        <f aca="false">(D148*$N148)*(1+$S$1)</f>
        <v>0</v>
      </c>
      <c r="Q148" s="68" t="n">
        <f aca="false">(E148*$N148)*(1+$S$1)</f>
        <v>0</v>
      </c>
      <c r="R148" s="68" t="n">
        <f aca="false">(F148*$N148)*(1+$S$1)</f>
        <v>0</v>
      </c>
      <c r="S148" s="68" t="n">
        <f aca="false">(G148*$N148)*(1+$S$1)</f>
        <v>0</v>
      </c>
      <c r="T148" s="55" t="str">
        <f aca="false">VLOOKUP($A148,BD_Items,20,0)</f>
        <v>na</v>
      </c>
      <c r="Y148" s="1"/>
      <c r="Z148" s="1"/>
      <c r="AA148" s="1"/>
    </row>
    <row r="149" customFormat="false" ht="12.8" hidden="false" customHeight="false" outlineLevel="0" collapsed="false">
      <c r="A149" s="45" t="s">
        <v>148</v>
      </c>
      <c r="B149" s="67" t="n">
        <v>0</v>
      </c>
      <c r="C149" s="67" t="n">
        <v>0</v>
      </c>
      <c r="D149" s="68" t="n">
        <f aca="false">VLOOKUP($A149,BD_Items,4,0)</f>
        <v>0</v>
      </c>
      <c r="E149" s="68" t="n">
        <f aca="false">VLOOKUP($A149,BD_Items,5,0)</f>
        <v>0</v>
      </c>
      <c r="F149" s="68" t="n">
        <f aca="false">VLOOKUP($A149,BD_Items,6,0)</f>
        <v>0</v>
      </c>
      <c r="G149" s="68" t="n">
        <f aca="false">VLOOKUP($A149,BD_Items,7,0)</f>
        <v>0</v>
      </c>
      <c r="H149" s="69" t="n">
        <f aca="false">VLOOKUP($A149,BD_Items,8,0)*$N149</f>
        <v>0</v>
      </c>
      <c r="I149" s="69" t="n">
        <f aca="false">VLOOKUP($A149,BD_Items,9,0)*$N149</f>
        <v>0</v>
      </c>
      <c r="J149" s="69" t="n">
        <f aca="false">VLOOKUP($A149,BD_Items,10,0)*$N149</f>
        <v>0</v>
      </c>
      <c r="K149" s="69" t="n">
        <f aca="false">VLOOKUP($A149,BD_Items,11,0)*$N149</f>
        <v>0</v>
      </c>
      <c r="L149" s="69" t="n">
        <f aca="false">VLOOKUP($A149,BD_Items,12,0)*$N149</f>
        <v>0</v>
      </c>
      <c r="M149" s="70" t="n">
        <f aca="false">VLOOKUP($A149,BD_Items,13,0)</f>
        <v>0</v>
      </c>
      <c r="N149" s="21" t="n">
        <v>1</v>
      </c>
      <c r="O149" s="71" t="n">
        <f aca="false">M149*N149</f>
        <v>0</v>
      </c>
      <c r="P149" s="68" t="n">
        <f aca="false">(D149*$N149)*(1+$S$1)</f>
        <v>0</v>
      </c>
      <c r="Q149" s="68" t="n">
        <f aca="false">(E149*$N149)*(1+$S$1)</f>
        <v>0</v>
      </c>
      <c r="R149" s="68" t="n">
        <f aca="false">(F149*$N149)*(1+$S$1)</f>
        <v>0</v>
      </c>
      <c r="S149" s="68" t="n">
        <f aca="false">(G149*$N149)*(1+$S$1)</f>
        <v>0</v>
      </c>
      <c r="T149" s="55" t="str">
        <f aca="false">VLOOKUP($A149,BD_Items,20,0)</f>
        <v>na</v>
      </c>
      <c r="Y149" s="1"/>
      <c r="Z149" s="1"/>
      <c r="AA149" s="1"/>
    </row>
    <row r="150" customFormat="false" ht="12.8" hidden="false" customHeight="false" outlineLevel="0" collapsed="false">
      <c r="A150" s="52"/>
      <c r="B150" s="52"/>
      <c r="C150" s="52"/>
      <c r="D150" s="52"/>
      <c r="E150" s="52"/>
      <c r="F150" s="52"/>
      <c r="G150" s="52"/>
      <c r="H150" s="52" t="n">
        <f aca="false">SUM(H123:H149)*(1+$S$1)</f>
        <v>0</v>
      </c>
      <c r="I150" s="52" t="n">
        <f aca="false">SUM(I123:I149)*(1+$S$1)</f>
        <v>0</v>
      </c>
      <c r="J150" s="52" t="n">
        <f aca="false">SUM(J123:J149)*(1+$S$1)</f>
        <v>0</v>
      </c>
      <c r="K150" s="52" t="n">
        <f aca="false">SUM(K123:K149)*(1+$S$1)</f>
        <v>0</v>
      </c>
      <c r="L150" s="52" t="n">
        <f aca="false">SUM(L123:L149)*(1+$S$1)</f>
        <v>0</v>
      </c>
      <c r="M150" s="72" t="n">
        <f aca="false">M122+M129+M136+M143</f>
        <v>0</v>
      </c>
      <c r="N150" s="52"/>
      <c r="O150" s="72" t="n">
        <f aca="false">O122+O129+O136+O143</f>
        <v>0</v>
      </c>
      <c r="P150" s="73" t="n">
        <f aca="false">P122+P129+P136+P143</f>
        <v>0</v>
      </c>
      <c r="Q150" s="73" t="n">
        <f aca="false">Q122+Q129+Q136+Q143</f>
        <v>0</v>
      </c>
      <c r="R150" s="73" t="n">
        <f aca="false">R122+R129+R136+R143</f>
        <v>0</v>
      </c>
      <c r="S150" s="73" t="n">
        <f aca="false">S122+S129+S136+S143</f>
        <v>0</v>
      </c>
      <c r="T150" s="59" t="n">
        <f aca="false">(P150+Q150+R150+S150)/4</f>
        <v>0</v>
      </c>
      <c r="Y150" s="1"/>
      <c r="Z150" s="1"/>
      <c r="AA150" s="1"/>
    </row>
    <row r="151" customFormat="false" ht="12.8" hidden="false" customHeight="false" outlineLevel="0" collapsed="false">
      <c r="Y151" s="1"/>
      <c r="Z151" s="1"/>
      <c r="AA151" s="1"/>
    </row>
    <row r="152" customFormat="false" ht="12.8" hidden="false" customHeight="false" outlineLevel="0" collapsed="false">
      <c r="Y152" s="1"/>
      <c r="Z152" s="1"/>
      <c r="AA152" s="1"/>
    </row>
    <row r="153" customFormat="false" ht="12.8" hidden="false" customHeight="false" outlineLevel="0" collapsed="false">
      <c r="Y153" s="1"/>
      <c r="Z153" s="1"/>
      <c r="AA153" s="1"/>
    </row>
    <row r="154" customFormat="false" ht="12.8" hidden="false" customHeight="false" outlineLevel="0" collapsed="false">
      <c r="A154" s="51" t="s">
        <v>323</v>
      </c>
      <c r="B154" s="52" t="s">
        <v>142</v>
      </c>
      <c r="C154" s="52" t="s">
        <v>145</v>
      </c>
      <c r="D154" s="52" t="s">
        <v>118</v>
      </c>
      <c r="E154" s="52" t="s">
        <v>160</v>
      </c>
      <c r="F154" s="52" t="s">
        <v>161</v>
      </c>
      <c r="G154" s="52" t="s">
        <v>162</v>
      </c>
      <c r="H154" s="52" t="s">
        <v>163</v>
      </c>
      <c r="I154" s="52" t="s">
        <v>164</v>
      </c>
      <c r="J154" s="52" t="s">
        <v>165</v>
      </c>
      <c r="K154" s="52" t="s">
        <v>166</v>
      </c>
      <c r="L154" s="52" t="s">
        <v>167</v>
      </c>
      <c r="M154" s="52" t="s">
        <v>119</v>
      </c>
      <c r="N154" s="52" t="s">
        <v>317</v>
      </c>
      <c r="O154" s="62" t="s">
        <v>318</v>
      </c>
      <c r="P154" s="52" t="s">
        <v>118</v>
      </c>
      <c r="Q154" s="52" t="s">
        <v>160</v>
      </c>
      <c r="R154" s="52" t="s">
        <v>306</v>
      </c>
      <c r="S154" s="52" t="s">
        <v>307</v>
      </c>
      <c r="T154" s="52" t="s">
        <v>172</v>
      </c>
      <c r="W154" s="12" t="s">
        <v>324</v>
      </c>
      <c r="Y154" s="1"/>
      <c r="Z154" s="1"/>
      <c r="AA154" s="1"/>
    </row>
    <row r="155" customFormat="false" ht="12.8" hidden="false" customHeight="false" outlineLevel="0" collapsed="false">
      <c r="A155" s="63" t="s">
        <v>325</v>
      </c>
      <c r="B155" s="6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6" t="n">
        <v>8880</v>
      </c>
      <c r="N155" s="65"/>
      <c r="O155" s="66" t="n">
        <f aca="false">SUM(O156:O159)</f>
        <v>10480</v>
      </c>
      <c r="P155" s="65" t="n">
        <f aca="false">SUM(P156:P159)</f>
        <v>94.9</v>
      </c>
      <c r="Q155" s="65" t="n">
        <f aca="false">SUM(Q156:Q159)</f>
        <v>10.4</v>
      </c>
      <c r="R155" s="65" t="n">
        <f aca="false">SUM(R156:R159)</f>
        <v>23.4</v>
      </c>
      <c r="S155" s="65" t="n">
        <f aca="false">SUM(S156:S159)</f>
        <v>36.4</v>
      </c>
      <c r="T155" s="46"/>
      <c r="Y155" s="1"/>
      <c r="Z155" s="1"/>
      <c r="AA155" s="1"/>
    </row>
    <row r="156" customFormat="false" ht="12.8" hidden="false" customHeight="false" outlineLevel="0" collapsed="false">
      <c r="A156" s="45" t="s">
        <v>140</v>
      </c>
      <c r="B156" s="67" t="n">
        <f aca="false">VLOOKUP($A156,BD_Items,2,0)</f>
        <v>0</v>
      </c>
      <c r="C156" s="67" t="n">
        <f aca="false">VLOOKUP($A156,BD_Items,3,0)</f>
        <v>0</v>
      </c>
      <c r="D156" s="68" t="n">
        <f aca="false">VLOOKUP($A156,BD_Items,4,0)</f>
        <v>8</v>
      </c>
      <c r="E156" s="68" t="n">
        <f aca="false">VLOOKUP($A156,BD_Items,5,0)</f>
        <v>8</v>
      </c>
      <c r="F156" s="68" t="n">
        <f aca="false">VLOOKUP($A156,BD_Items,6,0)</f>
        <v>-3</v>
      </c>
      <c r="G156" s="68" t="n">
        <f aca="false">VLOOKUP($A156,BD_Items,7,0)</f>
        <v>-3</v>
      </c>
      <c r="H156" s="69" t="n">
        <f aca="false">VLOOKUP($A156,BD_Items,8,0)*$N156</f>
        <v>0</v>
      </c>
      <c r="I156" s="69" t="n">
        <f aca="false">VLOOKUP($A156,BD_Items,9,0)*$N156</f>
        <v>0</v>
      </c>
      <c r="J156" s="69" t="n">
        <f aca="false">VLOOKUP($A156,BD_Items,10,0)*$N156</f>
        <v>0</v>
      </c>
      <c r="K156" s="69" t="n">
        <f aca="false">VLOOKUP($A156,BD_Items,11,0)*$N156</f>
        <v>0</v>
      </c>
      <c r="L156" s="69" t="n">
        <f aca="false">VLOOKUP($A156,BD_Items,12,0)*$N156</f>
        <v>0</v>
      </c>
      <c r="M156" s="70" t="n">
        <f aca="false">VLOOKUP($A156,BD_Items,13,0)</f>
        <v>1000</v>
      </c>
      <c r="N156" s="21" t="n">
        <v>1</v>
      </c>
      <c r="O156" s="71" t="n">
        <f aca="false">M156*N156</f>
        <v>1000</v>
      </c>
      <c r="P156" s="68" t="n">
        <f aca="false">(D156*$N156)*(1+$S$1)</f>
        <v>10.4</v>
      </c>
      <c r="Q156" s="68" t="n">
        <f aca="false">(E156*$N156)*(1+$S$1)</f>
        <v>10.4</v>
      </c>
      <c r="R156" s="68" t="n">
        <f aca="false">(F156*$N156)*(1+$S$1)</f>
        <v>-3.9</v>
      </c>
      <c r="S156" s="68" t="n">
        <f aca="false">(G156*$N156)*(1+$S$1)</f>
        <v>-3.9</v>
      </c>
      <c r="T156" s="55" t="str">
        <f aca="false">VLOOKUP($A156,BD_Items,20,0)</f>
        <v>Aplastador X</v>
      </c>
      <c r="Y156" s="1"/>
      <c r="Z156" s="1"/>
      <c r="AA156" s="1"/>
    </row>
    <row r="157" customFormat="false" ht="12.8" hidden="false" customHeight="false" outlineLevel="0" collapsed="false">
      <c r="A157" s="20" t="s">
        <v>178</v>
      </c>
      <c r="B157" s="67" t="n">
        <v>0</v>
      </c>
      <c r="C157" s="67" t="n">
        <v>0</v>
      </c>
      <c r="D157" s="68" t="n">
        <f aca="false">VLOOKUP($A157,BD_Items,4,0)</f>
        <v>15</v>
      </c>
      <c r="E157" s="68" t="n">
        <f aca="false">VLOOKUP($A157,BD_Items,5,0)</f>
        <v>0</v>
      </c>
      <c r="F157" s="68" t="n">
        <f aca="false">VLOOKUP($A157,BD_Items,6,0)</f>
        <v>15</v>
      </c>
      <c r="G157" s="68" t="n">
        <f aca="false">VLOOKUP($A157,BD_Items,7,0)</f>
        <v>15</v>
      </c>
      <c r="H157" s="69" t="n">
        <f aca="false">VLOOKUP($A157,BD_Items,8,0)*$N157</f>
        <v>0</v>
      </c>
      <c r="I157" s="69" t="n">
        <f aca="false">VLOOKUP($A157,BD_Items,9,0)*$N157</f>
        <v>0</v>
      </c>
      <c r="J157" s="69" t="n">
        <f aca="false">VLOOKUP($A157,BD_Items,10,0)*$N157</f>
        <v>0</v>
      </c>
      <c r="K157" s="69" t="n">
        <f aca="false">VLOOKUP($A157,BD_Items,11,0)*$N157</f>
        <v>0</v>
      </c>
      <c r="L157" s="69" t="n">
        <f aca="false">VLOOKUP($A157,BD_Items,12,0)*$N157</f>
        <v>0</v>
      </c>
      <c r="M157" s="70" t="n">
        <f aca="false">VLOOKUP($A157,BD_Items,13,0)</f>
        <v>2500</v>
      </c>
      <c r="N157" s="21" t="n">
        <v>1</v>
      </c>
      <c r="O157" s="71" t="n">
        <f aca="false">M157*N157</f>
        <v>2500</v>
      </c>
      <c r="P157" s="68" t="n">
        <f aca="false">(D157*$N157)*(1+$S$1)</f>
        <v>19.5</v>
      </c>
      <c r="Q157" s="68" t="n">
        <f aca="false">(E157*$N157)*(1+$S$1)</f>
        <v>0</v>
      </c>
      <c r="R157" s="68" t="n">
        <f aca="false">(F157*$N157)*(1+$S$1)</f>
        <v>19.5</v>
      </c>
      <c r="S157" s="68" t="n">
        <f aca="false">(G157*$N157)*(1+$S$1)</f>
        <v>19.5</v>
      </c>
      <c r="T157" s="55" t="str">
        <f aca="false">VLOOKUP($A157,BD_Items,20,0)</f>
        <v>Flaqueza X</v>
      </c>
      <c r="Y157" s="1"/>
      <c r="Z157" s="1"/>
      <c r="AA157" s="1"/>
    </row>
    <row r="158" customFormat="false" ht="12.8" hidden="false" customHeight="false" outlineLevel="0" collapsed="false">
      <c r="A158" s="45" t="s">
        <v>193</v>
      </c>
      <c r="B158" s="67" t="n">
        <v>0</v>
      </c>
      <c r="C158" s="67" t="n">
        <v>0</v>
      </c>
      <c r="D158" s="68" t="n">
        <f aca="false">VLOOKUP($A158,BD_Items,4,0)</f>
        <v>0</v>
      </c>
      <c r="E158" s="68" t="n">
        <f aca="false">VLOOKUP($A158,BD_Items,5,0)</f>
        <v>0</v>
      </c>
      <c r="F158" s="68" t="n">
        <f aca="false">VLOOKUP($A158,BD_Items,6,0)</f>
        <v>6</v>
      </c>
      <c r="G158" s="68" t="n">
        <f aca="false">VLOOKUP($A158,BD_Items,7,0)</f>
        <v>16</v>
      </c>
      <c r="H158" s="69" t="n">
        <f aca="false">VLOOKUP($A158,BD_Items,8,0)*$N158</f>
        <v>0</v>
      </c>
      <c r="I158" s="69" t="n">
        <f aca="false">VLOOKUP($A158,BD_Items,9,0)*$N158</f>
        <v>0</v>
      </c>
      <c r="J158" s="69" t="n">
        <f aca="false">VLOOKUP($A158,BD_Items,10,0)*$N158</f>
        <v>0</v>
      </c>
      <c r="K158" s="69" t="n">
        <f aca="false">VLOOKUP($A158,BD_Items,11,0)*$N158</f>
        <v>6</v>
      </c>
      <c r="L158" s="69" t="n">
        <f aca="false">VLOOKUP($A158,BD_Items,12,0)*$N158</f>
        <v>0</v>
      </c>
      <c r="M158" s="70" t="n">
        <f aca="false">VLOOKUP($A158,BD_Items,13,0)</f>
        <v>1580</v>
      </c>
      <c r="N158" s="21" t="n">
        <v>1</v>
      </c>
      <c r="O158" s="71" t="n">
        <f aca="false">M158*N158</f>
        <v>1580</v>
      </c>
      <c r="P158" s="68" t="n">
        <f aca="false">(D158*$N158)*(1+$S$1)</f>
        <v>0</v>
      </c>
      <c r="Q158" s="68" t="n">
        <f aca="false">(E158*$N158)*(1+$S$1)</f>
        <v>0</v>
      </c>
      <c r="R158" s="68" t="n">
        <f aca="false">(F158*$N158)*(1+$S$1)</f>
        <v>7.8</v>
      </c>
      <c r="S158" s="68" t="n">
        <f aca="false">(G158*$N158)*(1+$S$1)</f>
        <v>20.8</v>
      </c>
      <c r="T158" s="74" t="str">
        <f aca="false">VLOOKUP($A158,BD_Items,20,0)</f>
        <v>Rompe Defensas X</v>
      </c>
      <c r="Y158" s="1"/>
      <c r="Z158" s="1"/>
      <c r="AA158" s="1"/>
    </row>
    <row r="159" customFormat="false" ht="12.8" hidden="false" customHeight="false" outlineLevel="0" collapsed="false">
      <c r="A159" s="45" t="s">
        <v>146</v>
      </c>
      <c r="B159" s="67" t="n">
        <v>0</v>
      </c>
      <c r="C159" s="67" t="n">
        <v>0</v>
      </c>
      <c r="D159" s="68" t="n">
        <f aca="false">VLOOKUP($A159,BD_Items,4,0)</f>
        <v>25</v>
      </c>
      <c r="E159" s="68" t="n">
        <f aca="false">VLOOKUP($A159,BD_Items,5,0)</f>
        <v>0</v>
      </c>
      <c r="F159" s="68" t="n">
        <f aca="false">VLOOKUP($A159,BD_Items,6,0)</f>
        <v>0</v>
      </c>
      <c r="G159" s="68" t="n">
        <f aca="false">VLOOKUP($A159,BD_Items,7,0)</f>
        <v>0</v>
      </c>
      <c r="H159" s="69" t="n">
        <f aca="false">VLOOKUP($A159,BD_Items,8,0)*$N159</f>
        <v>0</v>
      </c>
      <c r="I159" s="69" t="n">
        <f aca="false">VLOOKUP($A159,BD_Items,9,0)*$N159</f>
        <v>0</v>
      </c>
      <c r="J159" s="69" t="n">
        <f aca="false">VLOOKUP($A159,BD_Items,10,0)*$N159</f>
        <v>0</v>
      </c>
      <c r="K159" s="69" t="n">
        <f aca="false">VLOOKUP($A159,BD_Items,11,0)*$N159</f>
        <v>0</v>
      </c>
      <c r="L159" s="69" t="n">
        <f aca="false">VLOOKUP($A159,BD_Items,12,0)*$N159</f>
        <v>0</v>
      </c>
      <c r="M159" s="70" t="n">
        <f aca="false">VLOOKUP($A159,BD_Items,13,0)</f>
        <v>2700</v>
      </c>
      <c r="N159" s="21" t="n">
        <v>2</v>
      </c>
      <c r="O159" s="71" t="n">
        <f aca="false">M159*N159</f>
        <v>5400</v>
      </c>
      <c r="P159" s="68" t="n">
        <f aca="false">(D159*$N159)*(1+$S$1)</f>
        <v>65</v>
      </c>
      <c r="Q159" s="68" t="n">
        <f aca="false">(E159*$N159)*(1+$S$1)</f>
        <v>0</v>
      </c>
      <c r="R159" s="68" t="n">
        <f aca="false">(F159*$N159)*(1+$S$1)</f>
        <v>0</v>
      </c>
      <c r="S159" s="68" t="n">
        <f aca="false">(G159*$N159)*(1+$S$1)</f>
        <v>0</v>
      </c>
      <c r="T159" s="55" t="str">
        <f aca="false">VLOOKUP($A159,BD_Items,20,0)</f>
        <v>Potenciador de Carga X</v>
      </c>
      <c r="Y159" s="1"/>
      <c r="Z159" s="1"/>
      <c r="AA159" s="1"/>
    </row>
    <row r="160" customFormat="false" ht="12.8" hidden="false" customHeight="false" outlineLevel="0" collapsed="false">
      <c r="A160" s="63" t="s">
        <v>326</v>
      </c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6" t="n">
        <v>15285</v>
      </c>
      <c r="N160" s="65"/>
      <c r="O160" s="66" t="n">
        <f aca="false">SUM(O161:O162)</f>
        <v>16100</v>
      </c>
      <c r="P160" s="75" t="n">
        <f aca="false">SUM(P161:P162)</f>
        <v>180.7</v>
      </c>
      <c r="Q160" s="75" t="n">
        <f aca="false">SUM(Q161:Q162)</f>
        <v>83.2</v>
      </c>
      <c r="R160" s="75" t="n">
        <f aca="false">SUM(R161:R162)</f>
        <v>-31.2</v>
      </c>
      <c r="S160" s="75" t="n">
        <f aca="false">SUM(S161:S162)</f>
        <v>-31.2</v>
      </c>
      <c r="T160" s="46"/>
      <c r="Y160" s="1"/>
      <c r="Z160" s="1"/>
      <c r="AA160" s="1"/>
    </row>
    <row r="161" customFormat="false" ht="12.8" hidden="false" customHeight="false" outlineLevel="0" collapsed="false">
      <c r="A161" s="45" t="s">
        <v>140</v>
      </c>
      <c r="B161" s="67" t="n">
        <f aca="false">VLOOKUP($A161,BD_Items,2,0)</f>
        <v>0</v>
      </c>
      <c r="C161" s="67" t="n">
        <f aca="false">VLOOKUP($A161,BD_Items,3,0)</f>
        <v>0</v>
      </c>
      <c r="D161" s="68" t="n">
        <f aca="false">VLOOKUP($A161,BD_Items,4,0)</f>
        <v>8</v>
      </c>
      <c r="E161" s="68" t="n">
        <f aca="false">VLOOKUP($A161,BD_Items,5,0)</f>
        <v>8</v>
      </c>
      <c r="F161" s="68" t="n">
        <f aca="false">VLOOKUP($A161,BD_Items,6,0)</f>
        <v>-3</v>
      </c>
      <c r="G161" s="68" t="n">
        <f aca="false">VLOOKUP($A161,BD_Items,7,0)</f>
        <v>-3</v>
      </c>
      <c r="H161" s="69" t="n">
        <f aca="false">VLOOKUP($A161,BD_Items,8,0)*$N161</f>
        <v>0</v>
      </c>
      <c r="I161" s="69" t="n">
        <f aca="false">VLOOKUP($A161,BD_Items,9,0)*$N161</f>
        <v>0</v>
      </c>
      <c r="J161" s="69" t="n">
        <f aca="false">VLOOKUP($A161,BD_Items,10,0)*$N161</f>
        <v>0</v>
      </c>
      <c r="K161" s="69" t="n">
        <f aca="false">VLOOKUP($A161,BD_Items,11,0)*$N161</f>
        <v>0</v>
      </c>
      <c r="L161" s="69" t="n">
        <f aca="false">VLOOKUP($A161,BD_Items,12,0)*$N161</f>
        <v>0</v>
      </c>
      <c r="M161" s="70" t="n">
        <f aca="false">VLOOKUP($A161,BD_Items,13,0)</f>
        <v>1000</v>
      </c>
      <c r="N161" s="21" t="n">
        <v>8</v>
      </c>
      <c r="O161" s="71" t="n">
        <f aca="false">M161*N161</f>
        <v>8000</v>
      </c>
      <c r="P161" s="68" t="n">
        <f aca="false">(D161*$N161)*(1+$S$1)</f>
        <v>83.2</v>
      </c>
      <c r="Q161" s="68" t="n">
        <f aca="false">(E161*$N161)*(1+$S$1)</f>
        <v>83.2</v>
      </c>
      <c r="R161" s="68" t="n">
        <f aca="false">(F161*$N161)*(1+$S$1)</f>
        <v>-31.2</v>
      </c>
      <c r="S161" s="68" t="n">
        <f aca="false">(G161*$N161)*(1+$S$1)</f>
        <v>-31.2</v>
      </c>
      <c r="T161" s="55" t="str">
        <f aca="false">VLOOKUP($A161,BD_Items,20,0)</f>
        <v>Aplastador X</v>
      </c>
      <c r="Y161" s="1"/>
      <c r="Z161" s="1"/>
      <c r="AA161" s="1"/>
    </row>
    <row r="162" customFormat="false" ht="12.8" hidden="false" customHeight="false" outlineLevel="0" collapsed="false">
      <c r="A162" s="45" t="s">
        <v>146</v>
      </c>
      <c r="B162" s="67" t="n">
        <v>0</v>
      </c>
      <c r="C162" s="67" t="n">
        <v>0</v>
      </c>
      <c r="D162" s="68" t="n">
        <f aca="false">VLOOKUP($A162,BD_Items,4,0)</f>
        <v>25</v>
      </c>
      <c r="E162" s="68" t="n">
        <f aca="false">VLOOKUP($A162,BD_Items,5,0)</f>
        <v>0</v>
      </c>
      <c r="F162" s="68" t="n">
        <f aca="false">VLOOKUP($A162,BD_Items,6,0)</f>
        <v>0</v>
      </c>
      <c r="G162" s="68" t="n">
        <f aca="false">VLOOKUP($A162,BD_Items,7,0)</f>
        <v>0</v>
      </c>
      <c r="H162" s="69" t="n">
        <f aca="false">VLOOKUP($A162,BD_Items,8,0)*$N162</f>
        <v>0</v>
      </c>
      <c r="I162" s="69" t="n">
        <f aca="false">VLOOKUP($A162,BD_Items,9,0)*$N162</f>
        <v>0</v>
      </c>
      <c r="J162" s="69" t="n">
        <f aca="false">VLOOKUP($A162,BD_Items,10,0)*$N162</f>
        <v>0</v>
      </c>
      <c r="K162" s="69" t="n">
        <f aca="false">VLOOKUP($A162,BD_Items,11,0)*$N162</f>
        <v>0</v>
      </c>
      <c r="L162" s="69" t="n">
        <f aca="false">VLOOKUP($A162,BD_Items,12,0)*$N162</f>
        <v>0</v>
      </c>
      <c r="M162" s="70" t="n">
        <f aca="false">VLOOKUP($A162,BD_Items,13,0)</f>
        <v>2700</v>
      </c>
      <c r="N162" s="21" t="n">
        <v>3</v>
      </c>
      <c r="O162" s="71" t="n">
        <f aca="false">M162*N162</f>
        <v>8100</v>
      </c>
      <c r="P162" s="68" t="n">
        <f aca="false">(D162*$N162)*(1+$S$1)</f>
        <v>97.5</v>
      </c>
      <c r="Q162" s="68" t="n">
        <f aca="false">(E162*$N162)*(1+$S$1)</f>
        <v>0</v>
      </c>
      <c r="R162" s="68" t="n">
        <f aca="false">(F162*$N162)*(1+$S$1)</f>
        <v>0</v>
      </c>
      <c r="S162" s="68" t="n">
        <f aca="false">(G162*$N162)*(1+$S$1)</f>
        <v>0</v>
      </c>
      <c r="T162" s="55" t="str">
        <f aca="false">VLOOKUP($A162,BD_Items,20,0)</f>
        <v>Potenciador de Carga X</v>
      </c>
      <c r="Y162" s="1"/>
      <c r="Z162" s="1"/>
      <c r="AA162" s="1"/>
    </row>
    <row r="163" customFormat="false" ht="12.8" hidden="false" customHeight="false" outlineLevel="0" collapsed="false">
      <c r="A163" s="63" t="s">
        <v>327</v>
      </c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6" t="n">
        <v>22150</v>
      </c>
      <c r="N163" s="65"/>
      <c r="O163" s="66" t="n">
        <f aca="false">SUM(O164:O164)</f>
        <v>21600</v>
      </c>
      <c r="P163" s="65" t="n">
        <f aca="false">SUM(P164:P164)</f>
        <v>260</v>
      </c>
      <c r="Q163" s="65" t="n">
        <f aca="false">SUM(Q164:Q164)</f>
        <v>0</v>
      </c>
      <c r="R163" s="65" t="n">
        <f aca="false">SUM(R164:R164)</f>
        <v>0</v>
      </c>
      <c r="S163" s="65" t="n">
        <f aca="false">SUM(S164:S164)</f>
        <v>0</v>
      </c>
      <c r="T163" s="46"/>
      <c r="Y163" s="1"/>
      <c r="Z163" s="1"/>
      <c r="AA163" s="1"/>
    </row>
    <row r="164" customFormat="false" ht="12.8" hidden="false" customHeight="false" outlineLevel="0" collapsed="false">
      <c r="A164" s="30" t="s">
        <v>146</v>
      </c>
      <c r="B164" s="67" t="n">
        <f aca="false">VLOOKUP($A164,BD_Items,2,0)</f>
        <v>0</v>
      </c>
      <c r="C164" s="67" t="n">
        <f aca="false">VLOOKUP($A164,BD_Items,3,0)</f>
        <v>0</v>
      </c>
      <c r="D164" s="68" t="n">
        <f aca="false">VLOOKUP($A164,BD_Items,4,0)</f>
        <v>25</v>
      </c>
      <c r="E164" s="68" t="n">
        <f aca="false">VLOOKUP($A164,BD_Items,5,0)</f>
        <v>0</v>
      </c>
      <c r="F164" s="68" t="n">
        <f aca="false">VLOOKUP($A164,BD_Items,6,0)</f>
        <v>0</v>
      </c>
      <c r="G164" s="68" t="n">
        <f aca="false">VLOOKUP($A164,BD_Items,7,0)</f>
        <v>0</v>
      </c>
      <c r="H164" s="69" t="n">
        <f aca="false">VLOOKUP($A164,BD_Items,8,0)*$N164</f>
        <v>0</v>
      </c>
      <c r="I164" s="69" t="n">
        <f aca="false">VLOOKUP($A164,BD_Items,9,0)*$N164</f>
        <v>0</v>
      </c>
      <c r="J164" s="69" t="n">
        <f aca="false">VLOOKUP($A164,BD_Items,10,0)*$N164</f>
        <v>0</v>
      </c>
      <c r="K164" s="69" t="n">
        <f aca="false">VLOOKUP($A164,BD_Items,11,0)*$N164</f>
        <v>0</v>
      </c>
      <c r="L164" s="69" t="n">
        <f aca="false">VLOOKUP($A164,BD_Items,12,0)*$N164</f>
        <v>0</v>
      </c>
      <c r="M164" s="70" t="n">
        <f aca="false">VLOOKUP($A164,BD_Items,13,0)</f>
        <v>2700</v>
      </c>
      <c r="N164" s="21" t="n">
        <v>8</v>
      </c>
      <c r="O164" s="71" t="n">
        <f aca="false">M164*N164</f>
        <v>21600</v>
      </c>
      <c r="P164" s="68" t="n">
        <f aca="false">(D164*$N164)*(1+$S$1)</f>
        <v>260</v>
      </c>
      <c r="Q164" s="68" t="n">
        <f aca="false">(E164*$N164)*(1+$S$1)</f>
        <v>0</v>
      </c>
      <c r="R164" s="68" t="n">
        <f aca="false">(F164*$N164)*(1+$S$1)</f>
        <v>0</v>
      </c>
      <c r="S164" s="68" t="n">
        <f aca="false">(G164*$N164)*(1+$S$1)</f>
        <v>0</v>
      </c>
      <c r="T164" s="55" t="str">
        <f aca="false">VLOOKUP($A164,BD_Items,20,0)</f>
        <v>Potenciador de Carga X</v>
      </c>
      <c r="Y164" s="1"/>
      <c r="Z164" s="1"/>
      <c r="AA164" s="1"/>
    </row>
    <row r="165" customFormat="false" ht="12.8" hidden="false" customHeight="false" outlineLevel="0" collapsed="false">
      <c r="A165" s="63" t="s">
        <v>328</v>
      </c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6" t="n">
        <v>12285</v>
      </c>
      <c r="N165" s="65"/>
      <c r="O165" s="66" t="n">
        <f aca="false">SUM(O166:O169)</f>
        <v>13790</v>
      </c>
      <c r="P165" s="65" t="n">
        <f aca="false">SUM(P166:P169)</f>
        <v>162.5</v>
      </c>
      <c r="Q165" s="65" t="n">
        <f aca="false">SUM(Q166:Q169)</f>
        <v>0</v>
      </c>
      <c r="R165" s="65" t="n">
        <f aca="false">SUM(R166:R169)</f>
        <v>0</v>
      </c>
      <c r="S165" s="65" t="n">
        <f aca="false">SUM(S166:S169)</f>
        <v>0</v>
      </c>
      <c r="T165" s="46"/>
      <c r="Y165" s="1"/>
      <c r="Z165" s="1"/>
      <c r="AA165" s="1"/>
    </row>
    <row r="166" customFormat="false" ht="12.8" hidden="false" customHeight="false" outlineLevel="0" collapsed="false">
      <c r="A166" s="30" t="s">
        <v>304</v>
      </c>
      <c r="B166" s="67" t="n">
        <f aca="false">VLOOKUP($A166,BD_Items,2,0)</f>
        <v>0</v>
      </c>
      <c r="C166" s="67" t="n">
        <f aca="false">VLOOKUP($A166,BD_Items,3,0)</f>
        <v>0</v>
      </c>
      <c r="D166" s="68" t="n">
        <f aca="false">VLOOKUP($A166,BD_Items,4,0)</f>
        <v>0</v>
      </c>
      <c r="E166" s="68" t="n">
        <f aca="false">VLOOKUP($A166,BD_Items,5,0)</f>
        <v>0</v>
      </c>
      <c r="F166" s="68" t="n">
        <f aca="false">VLOOKUP($A166,BD_Items,6,0)</f>
        <v>0</v>
      </c>
      <c r="G166" s="68" t="n">
        <f aca="false">VLOOKUP($A166,BD_Items,7,0)</f>
        <v>0</v>
      </c>
      <c r="H166" s="69" t="n">
        <f aca="false">VLOOKUP($A166,BD_Items,8,0)*$N166</f>
        <v>0</v>
      </c>
      <c r="I166" s="69" t="n">
        <f aca="false">VLOOKUP($A166,BD_Items,9,0)*$N166</f>
        <v>0</v>
      </c>
      <c r="J166" s="69" t="n">
        <f aca="false">VLOOKUP($A166,BD_Items,10,0)*$N166</f>
        <v>0</v>
      </c>
      <c r="K166" s="69" t="n">
        <f aca="false">VLOOKUP($A166,BD_Items,11,0)*$N166</f>
        <v>0</v>
      </c>
      <c r="L166" s="69" t="n">
        <f aca="false">VLOOKUP($A166,BD_Items,12,0)*$N166</f>
        <v>0</v>
      </c>
      <c r="M166" s="70" t="n">
        <f aca="false">VLOOKUP($A166,BD_Items,13,0)</f>
        <v>0</v>
      </c>
      <c r="N166" s="21" t="n">
        <v>2</v>
      </c>
      <c r="O166" s="71" t="n">
        <f aca="false">M166*N166</f>
        <v>0</v>
      </c>
      <c r="P166" s="68" t="n">
        <f aca="false">(D166*$N166)*(1+$S$1)</f>
        <v>0</v>
      </c>
      <c r="Q166" s="68" t="n">
        <f aca="false">(E166*$N166)*(1+$S$1)</f>
        <v>0</v>
      </c>
      <c r="R166" s="68" t="n">
        <f aca="false">(F166*$N166)*(1+$S$1)</f>
        <v>0</v>
      </c>
      <c r="S166" s="68" t="n">
        <f aca="false">(G166*$N166)*(1+$S$1)</f>
        <v>0</v>
      </c>
      <c r="T166" s="55" t="str">
        <f aca="false">VLOOKUP($A166,BD_Items,20,0)</f>
        <v>na</v>
      </c>
      <c r="Y166" s="1"/>
      <c r="Z166" s="1"/>
      <c r="AA166" s="1"/>
    </row>
    <row r="167" customFormat="false" ht="12.8" hidden="false" customHeight="false" outlineLevel="0" collapsed="false">
      <c r="A167" s="30" t="s">
        <v>146</v>
      </c>
      <c r="B167" s="67" t="n">
        <v>0</v>
      </c>
      <c r="C167" s="67" t="n">
        <v>0</v>
      </c>
      <c r="D167" s="68" t="n">
        <f aca="false">VLOOKUP($A167,BD_Items,4,0)</f>
        <v>25</v>
      </c>
      <c r="E167" s="68" t="n">
        <f aca="false">VLOOKUP($A167,BD_Items,5,0)</f>
        <v>0</v>
      </c>
      <c r="F167" s="68" t="n">
        <f aca="false">VLOOKUP($A167,BD_Items,6,0)</f>
        <v>0</v>
      </c>
      <c r="G167" s="68" t="n">
        <f aca="false">VLOOKUP($A167,BD_Items,7,0)</f>
        <v>0</v>
      </c>
      <c r="H167" s="69" t="n">
        <f aca="false">VLOOKUP($A167,BD_Items,8,0)*$N167</f>
        <v>0</v>
      </c>
      <c r="I167" s="69" t="n">
        <f aca="false">VLOOKUP($A167,BD_Items,9,0)*$N167</f>
        <v>0</v>
      </c>
      <c r="J167" s="69" t="n">
        <f aca="false">VLOOKUP($A167,BD_Items,10,0)*$N167</f>
        <v>0</v>
      </c>
      <c r="K167" s="69" t="n">
        <f aca="false">VLOOKUP($A167,BD_Items,11,0)*$N167</f>
        <v>0</v>
      </c>
      <c r="L167" s="69" t="n">
        <f aca="false">VLOOKUP($A167,BD_Items,12,0)*$N167</f>
        <v>0</v>
      </c>
      <c r="M167" s="70" t="n">
        <f aca="false">VLOOKUP($A167,BD_Items,13,0)</f>
        <v>2700</v>
      </c>
      <c r="N167" s="21" t="n">
        <v>3</v>
      </c>
      <c r="O167" s="71" t="n">
        <f aca="false">M167*N167</f>
        <v>8100</v>
      </c>
      <c r="P167" s="68" t="n">
        <f aca="false">(D167*$N167)*(1+$S$1)</f>
        <v>97.5</v>
      </c>
      <c r="Q167" s="68" t="n">
        <f aca="false">(E167*$N167)*(1+$S$1)</f>
        <v>0</v>
      </c>
      <c r="R167" s="68" t="n">
        <f aca="false">(F167*$N167)*(1+$S$1)</f>
        <v>0</v>
      </c>
      <c r="S167" s="68" t="n">
        <f aca="false">(G167*$N167)*(1+$S$1)</f>
        <v>0</v>
      </c>
      <c r="T167" s="55" t="str">
        <f aca="false">VLOOKUP($A167,BD_Items,20,0)</f>
        <v>Potenciador de Carga X</v>
      </c>
      <c r="Y167" s="1"/>
      <c r="Z167" s="1"/>
      <c r="AA167" s="1"/>
    </row>
    <row r="168" customFormat="false" ht="12.8" hidden="false" customHeight="false" outlineLevel="0" collapsed="false">
      <c r="A168" s="45" t="s">
        <v>254</v>
      </c>
      <c r="B168" s="67" t="n">
        <v>0</v>
      </c>
      <c r="C168" s="67" t="n">
        <v>0</v>
      </c>
      <c r="D168" s="68" t="n">
        <f aca="false">VLOOKUP($A168,BD_Items,4,0)</f>
        <v>20</v>
      </c>
      <c r="E168" s="68" t="n">
        <f aca="false">VLOOKUP($A168,BD_Items,5,0)</f>
        <v>0</v>
      </c>
      <c r="F168" s="68" t="n">
        <f aca="false">VLOOKUP($A168,BD_Items,6,0)</f>
        <v>0</v>
      </c>
      <c r="G168" s="68" t="n">
        <f aca="false">VLOOKUP($A168,BD_Items,7,0)</f>
        <v>0</v>
      </c>
      <c r="H168" s="69" t="n">
        <f aca="false">VLOOKUP($A168,BD_Items,8,0)*$N168</f>
        <v>0</v>
      </c>
      <c r="I168" s="69" t="n">
        <f aca="false">VLOOKUP($A168,BD_Items,9,0)*$N168</f>
        <v>0</v>
      </c>
      <c r="J168" s="69" t="n">
        <f aca="false">VLOOKUP($A168,BD_Items,10,0)*$N168</f>
        <v>0</v>
      </c>
      <c r="K168" s="69" t="n">
        <f aca="false">VLOOKUP($A168,BD_Items,11,0)*$N168</f>
        <v>0</v>
      </c>
      <c r="L168" s="69" t="n">
        <f aca="false">VLOOKUP($A168,BD_Items,12,0)*$N168</f>
        <v>0</v>
      </c>
      <c r="M168" s="70" t="n">
        <f aca="false">VLOOKUP($A168,BD_Items,13,0)</f>
        <v>2290</v>
      </c>
      <c r="N168" s="21" t="n">
        <v>1</v>
      </c>
      <c r="O168" s="71" t="n">
        <f aca="false">M168*N168</f>
        <v>2290</v>
      </c>
      <c r="P168" s="68" t="n">
        <f aca="false">(D168*$N168)*(1+$S$1)</f>
        <v>26</v>
      </c>
      <c r="Q168" s="68" t="n">
        <f aca="false">(E168*$N168)*(1+$S$1)</f>
        <v>0</v>
      </c>
      <c r="R168" s="68" t="n">
        <f aca="false">(F168*$N168)*(1+$S$1)</f>
        <v>0</v>
      </c>
      <c r="S168" s="68" t="n">
        <f aca="false">(G168*$N168)*(1+$S$1)</f>
        <v>0</v>
      </c>
      <c r="T168" s="55" t="str">
        <f aca="false">VLOOKUP($A168,BD_Items,20,0)</f>
        <v>Gran Amenaza X</v>
      </c>
      <c r="Y168" s="1"/>
      <c r="Z168" s="1"/>
      <c r="AA168" s="1"/>
    </row>
    <row r="169" customFormat="false" ht="12.8" hidden="false" customHeight="false" outlineLevel="0" collapsed="false">
      <c r="A169" s="45" t="s">
        <v>247</v>
      </c>
      <c r="B169" s="67" t="n">
        <v>0</v>
      </c>
      <c r="C169" s="67" t="n">
        <v>0</v>
      </c>
      <c r="D169" s="68" t="n">
        <f aca="false">VLOOKUP($A169,BD_Items,4,0)</f>
        <v>30</v>
      </c>
      <c r="E169" s="68" t="n">
        <f aca="false">VLOOKUP($A169,BD_Items,5,0)</f>
        <v>0</v>
      </c>
      <c r="F169" s="68" t="n">
        <f aca="false">VLOOKUP($A169,BD_Items,6,0)</f>
        <v>0</v>
      </c>
      <c r="G169" s="68" t="n">
        <f aca="false">VLOOKUP($A169,BD_Items,7,0)</f>
        <v>0</v>
      </c>
      <c r="H169" s="69" t="n">
        <f aca="false">VLOOKUP($A169,BD_Items,8,0)*$N169</f>
        <v>0</v>
      </c>
      <c r="I169" s="69" t="n">
        <f aca="false">VLOOKUP($A169,BD_Items,9,0)*$N169</f>
        <v>0</v>
      </c>
      <c r="J169" s="69" t="n">
        <f aca="false">VLOOKUP($A169,BD_Items,10,0)*$N169</f>
        <v>0</v>
      </c>
      <c r="K169" s="69" t="n">
        <f aca="false">VLOOKUP($A169,BD_Items,11,0)*$N169</f>
        <v>0</v>
      </c>
      <c r="L169" s="69" t="n">
        <f aca="false">VLOOKUP($A169,BD_Items,12,0)*$N169</f>
        <v>0</v>
      </c>
      <c r="M169" s="70" t="n">
        <f aca="false">VLOOKUP($A169,BD_Items,13,0)</f>
        <v>3400</v>
      </c>
      <c r="N169" s="21" t="n">
        <v>1</v>
      </c>
      <c r="O169" s="71" t="n">
        <f aca="false">M169*N169</f>
        <v>3400</v>
      </c>
      <c r="P169" s="68" t="n">
        <f aca="false">(D169*$N169)*(1+$S$1)</f>
        <v>39</v>
      </c>
      <c r="Q169" s="68" t="n">
        <f aca="false">(E169*$N169)*(1+$S$1)</f>
        <v>0</v>
      </c>
      <c r="R169" s="68" t="n">
        <f aca="false">(F169*$N169)*(1+$S$1)</f>
        <v>0</v>
      </c>
      <c r="S169" s="68" t="n">
        <f aca="false">(G169*$N169)*(1+$S$1)</f>
        <v>0</v>
      </c>
      <c r="T169" s="55" t="str">
        <f aca="false">VLOOKUP($A169,BD_Items,20,0)</f>
        <v>na</v>
      </c>
      <c r="Y169" s="1"/>
      <c r="Z169" s="1"/>
      <c r="AA169" s="1"/>
    </row>
    <row r="170" customFormat="false" ht="12.8" hidden="false" customHeight="false" outlineLevel="0" collapsed="false">
      <c r="A170" s="52" t="s">
        <v>310</v>
      </c>
      <c r="B170" s="52"/>
      <c r="C170" s="52"/>
      <c r="D170" s="52"/>
      <c r="E170" s="52"/>
      <c r="F170" s="52"/>
      <c r="G170" s="52"/>
      <c r="H170" s="52" t="n">
        <f aca="false">SUM(H156:H169)*(1+$S$1)</f>
        <v>0</v>
      </c>
      <c r="I170" s="52" t="n">
        <f aca="false">SUM(I156:I169)*(1+$S$1)</f>
        <v>0</v>
      </c>
      <c r="J170" s="52" t="n">
        <f aca="false">SUM(J156:J169)*(1+$S$1)</f>
        <v>0</v>
      </c>
      <c r="K170" s="52" t="n">
        <f aca="false">SUM(K156:K169)*(1+$S$1)</f>
        <v>7.8</v>
      </c>
      <c r="L170" s="52" t="n">
        <f aca="false">SUM(L156:L169)*(1+$S$1)</f>
        <v>0</v>
      </c>
      <c r="M170" s="72" t="n">
        <f aca="false">M155+M160+M163+M165</f>
        <v>58600</v>
      </c>
      <c r="N170" s="52"/>
      <c r="O170" s="72" t="n">
        <f aca="false">O155+O160+O163+O165</f>
        <v>61970</v>
      </c>
      <c r="P170" s="73" t="n">
        <f aca="false">P155+P160+P163+P165</f>
        <v>698.1</v>
      </c>
      <c r="Q170" s="73" t="n">
        <f aca="false">Q155+Q160+Q163+Q165</f>
        <v>93.6</v>
      </c>
      <c r="R170" s="73" t="n">
        <f aca="false">R155+R160+R163+R165</f>
        <v>-7.8</v>
      </c>
      <c r="S170" s="73" t="n">
        <f aca="false">S155+S160+S163+S165</f>
        <v>5.2</v>
      </c>
      <c r="T170" s="59" t="n">
        <f aca="false">(P170+Q170+R170+S170)/4</f>
        <v>197.275</v>
      </c>
      <c r="Y170" s="1"/>
      <c r="Z170" s="1"/>
      <c r="AA170" s="1"/>
    </row>
    <row r="171" customFormat="false" ht="12.8" hidden="false" customHeight="false" outlineLevel="0" collapsed="false">
      <c r="Y171" s="1"/>
      <c r="Z171" s="1"/>
      <c r="AA171" s="1"/>
    </row>
    <row r="172" customFormat="false" ht="12.8" hidden="false" customHeight="false" outlineLevel="0" collapsed="false">
      <c r="Y172" s="1"/>
      <c r="Z172" s="1"/>
      <c r="AA172" s="1"/>
    </row>
    <row r="173" customFormat="false" ht="12.8" hidden="false" customHeight="false" outlineLevel="0" collapsed="false">
      <c r="Y173" s="1"/>
      <c r="Z173" s="1"/>
      <c r="AA173" s="1"/>
    </row>
    <row r="174" customFormat="false" ht="12.8" hidden="false" customHeight="false" outlineLevel="0" collapsed="false">
      <c r="A174" s="51"/>
      <c r="B174" s="52" t="s">
        <v>142</v>
      </c>
      <c r="C174" s="52" t="s">
        <v>145</v>
      </c>
      <c r="D174" s="52" t="s">
        <v>118</v>
      </c>
      <c r="E174" s="52" t="s">
        <v>160</v>
      </c>
      <c r="F174" s="52" t="s">
        <v>161</v>
      </c>
      <c r="G174" s="52" t="s">
        <v>162</v>
      </c>
      <c r="H174" s="52" t="s">
        <v>163</v>
      </c>
      <c r="I174" s="52" t="s">
        <v>164</v>
      </c>
      <c r="J174" s="52" t="s">
        <v>165</v>
      </c>
      <c r="K174" s="52" t="s">
        <v>166</v>
      </c>
      <c r="L174" s="52" t="s">
        <v>167</v>
      </c>
      <c r="M174" s="52" t="s">
        <v>119</v>
      </c>
      <c r="N174" s="52" t="s">
        <v>317</v>
      </c>
      <c r="O174" s="62" t="s">
        <v>318</v>
      </c>
      <c r="P174" s="52" t="s">
        <v>118</v>
      </c>
      <c r="Q174" s="52" t="s">
        <v>160</v>
      </c>
      <c r="R174" s="52" t="s">
        <v>306</v>
      </c>
      <c r="S174" s="52" t="s">
        <v>307</v>
      </c>
      <c r="T174" s="52" t="s">
        <v>172</v>
      </c>
      <c r="Y174" s="1"/>
      <c r="Z174" s="1"/>
      <c r="AA174" s="1"/>
    </row>
    <row r="175" customFormat="false" ht="12.8" hidden="false" customHeight="false" outlineLevel="0" collapsed="false">
      <c r="A175" s="63" t="s">
        <v>325</v>
      </c>
      <c r="B175" s="6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6" t="n">
        <v>8880</v>
      </c>
      <c r="N175" s="65"/>
      <c r="O175" s="66" t="n">
        <f aca="false">SUM(O176:O179)</f>
        <v>10100</v>
      </c>
      <c r="P175" s="65" t="n">
        <f aca="false">SUM(P176:P179)</f>
        <v>101.4</v>
      </c>
      <c r="Q175" s="65" t="n">
        <f aca="false">SUM(Q176:Q179)</f>
        <v>10.4</v>
      </c>
      <c r="R175" s="65" t="n">
        <f aca="false">SUM(R176:R179)</f>
        <v>24.7</v>
      </c>
      <c r="S175" s="65" t="n">
        <f aca="false">SUM(S176:S179)</f>
        <v>24.7</v>
      </c>
      <c r="T175" s="46"/>
      <c r="Y175" s="1"/>
      <c r="Z175" s="1"/>
      <c r="AA175" s="1"/>
    </row>
    <row r="176" customFormat="false" ht="12.8" hidden="false" customHeight="false" outlineLevel="0" collapsed="false">
      <c r="A176" s="45" t="s">
        <v>140</v>
      </c>
      <c r="B176" s="67" t="n">
        <f aca="false">VLOOKUP($A176,BD_Items,2,0)</f>
        <v>0</v>
      </c>
      <c r="C176" s="67" t="n">
        <f aca="false">VLOOKUP($A176,BD_Items,3,0)</f>
        <v>0</v>
      </c>
      <c r="D176" s="68" t="n">
        <f aca="false">VLOOKUP($A176,BD_Items,4,0)</f>
        <v>8</v>
      </c>
      <c r="E176" s="68" t="n">
        <f aca="false">VLOOKUP($A176,BD_Items,5,0)</f>
        <v>8</v>
      </c>
      <c r="F176" s="68" t="n">
        <f aca="false">VLOOKUP($A176,BD_Items,6,0)</f>
        <v>-3</v>
      </c>
      <c r="G176" s="68" t="n">
        <f aca="false">VLOOKUP($A176,BD_Items,7,0)</f>
        <v>-3</v>
      </c>
      <c r="H176" s="69" t="n">
        <f aca="false">VLOOKUP($A176,BD_Items,8,0)*$N176</f>
        <v>0</v>
      </c>
      <c r="I176" s="69" t="n">
        <f aca="false">VLOOKUP($A176,BD_Items,9,0)*$N176</f>
        <v>0</v>
      </c>
      <c r="J176" s="69" t="n">
        <f aca="false">VLOOKUP($A176,BD_Items,10,0)*$N176</f>
        <v>0</v>
      </c>
      <c r="K176" s="69" t="n">
        <f aca="false">VLOOKUP($A176,BD_Items,11,0)*$N176</f>
        <v>0</v>
      </c>
      <c r="L176" s="69" t="n">
        <f aca="false">VLOOKUP($A176,BD_Items,12,0)*$N176</f>
        <v>0</v>
      </c>
      <c r="M176" s="70" t="n">
        <f aca="false">VLOOKUP($A176,BD_Items,13,0)</f>
        <v>1000</v>
      </c>
      <c r="N176" s="21" t="n">
        <v>1</v>
      </c>
      <c r="O176" s="71" t="n">
        <f aca="false">M176*N176</f>
        <v>1000</v>
      </c>
      <c r="P176" s="68" t="n">
        <f aca="false">(D176*$N176)*(1+$S$1)</f>
        <v>10.4</v>
      </c>
      <c r="Q176" s="68" t="n">
        <f aca="false">(E176*$N176)*(1+$S$1)</f>
        <v>10.4</v>
      </c>
      <c r="R176" s="68" t="n">
        <f aca="false">(F176*$N176)*(1+$S$1)</f>
        <v>-3.9</v>
      </c>
      <c r="S176" s="68" t="n">
        <f aca="false">(G176*$N176)*(1+$S$1)</f>
        <v>-3.9</v>
      </c>
      <c r="T176" s="55" t="str">
        <f aca="false">VLOOKUP($A176,BD_Items,20,0)</f>
        <v>Aplastador X</v>
      </c>
      <c r="Y176" s="1"/>
      <c r="Z176" s="1"/>
      <c r="AA176" s="1"/>
    </row>
    <row r="177" customFormat="false" ht="12.8" hidden="false" customHeight="false" outlineLevel="0" collapsed="false">
      <c r="A177" s="20" t="s">
        <v>178</v>
      </c>
      <c r="B177" s="67" t="n">
        <v>0</v>
      </c>
      <c r="C177" s="67" t="n">
        <v>0</v>
      </c>
      <c r="D177" s="68" t="n">
        <f aca="false">VLOOKUP($A177,BD_Items,4,0)</f>
        <v>15</v>
      </c>
      <c r="E177" s="68" t="n">
        <f aca="false">VLOOKUP($A177,BD_Items,5,0)</f>
        <v>0</v>
      </c>
      <c r="F177" s="68" t="n">
        <f aca="false">VLOOKUP($A177,BD_Items,6,0)</f>
        <v>15</v>
      </c>
      <c r="G177" s="68" t="n">
        <f aca="false">VLOOKUP($A177,BD_Items,7,0)</f>
        <v>15</v>
      </c>
      <c r="H177" s="69" t="n">
        <f aca="false">VLOOKUP($A177,BD_Items,8,0)*$N177</f>
        <v>0</v>
      </c>
      <c r="I177" s="69" t="n">
        <f aca="false">VLOOKUP($A177,BD_Items,9,0)*$N177</f>
        <v>0</v>
      </c>
      <c r="J177" s="69" t="n">
        <f aca="false">VLOOKUP($A177,BD_Items,10,0)*$N177</f>
        <v>0</v>
      </c>
      <c r="K177" s="69" t="n">
        <f aca="false">VLOOKUP($A177,BD_Items,11,0)*$N177</f>
        <v>0</v>
      </c>
      <c r="L177" s="69" t="n">
        <f aca="false">VLOOKUP($A177,BD_Items,12,0)*$N177</f>
        <v>0</v>
      </c>
      <c r="M177" s="70" t="n">
        <f aca="false">VLOOKUP($A177,BD_Items,13,0)</f>
        <v>2500</v>
      </c>
      <c r="N177" s="21" t="n">
        <v>1</v>
      </c>
      <c r="O177" s="71" t="n">
        <f aca="false">M177*N177</f>
        <v>2500</v>
      </c>
      <c r="P177" s="68" t="n">
        <f aca="false">(D177*$N177)*(1+$S$1)</f>
        <v>19.5</v>
      </c>
      <c r="Q177" s="68" t="n">
        <f aca="false">(E177*$N177)*(1+$S$1)</f>
        <v>0</v>
      </c>
      <c r="R177" s="68" t="n">
        <f aca="false">(F177*$N177)*(1+$S$1)</f>
        <v>19.5</v>
      </c>
      <c r="S177" s="68" t="n">
        <f aca="false">(G177*$N177)*(1+$S$1)</f>
        <v>19.5</v>
      </c>
      <c r="T177" s="55" t="str">
        <f aca="false">VLOOKUP($A177,BD_Items,20,0)</f>
        <v>Flaqueza X</v>
      </c>
      <c r="Y177" s="1"/>
      <c r="Z177" s="1"/>
      <c r="AA177" s="1"/>
    </row>
    <row r="178" customFormat="false" ht="12.8" hidden="false" customHeight="false" outlineLevel="0" collapsed="false">
      <c r="A178" s="45" t="s">
        <v>181</v>
      </c>
      <c r="B178" s="67" t="n">
        <v>0</v>
      </c>
      <c r="C178" s="67" t="n">
        <v>0</v>
      </c>
      <c r="D178" s="68" t="n">
        <f aca="false">VLOOKUP($A178,BD_Items,4,0)</f>
        <v>5</v>
      </c>
      <c r="E178" s="68" t="n">
        <f aca="false">VLOOKUP($A178,BD_Items,5,0)</f>
        <v>0</v>
      </c>
      <c r="F178" s="68" t="n">
        <f aca="false">VLOOKUP($A178,BD_Items,6,0)</f>
        <v>7</v>
      </c>
      <c r="G178" s="68" t="n">
        <f aca="false">VLOOKUP($A178,BD_Items,7,0)</f>
        <v>7</v>
      </c>
      <c r="H178" s="69" t="n">
        <f aca="false">VLOOKUP($A178,BD_Items,8,0)*$N178</f>
        <v>0</v>
      </c>
      <c r="I178" s="69" t="n">
        <f aca="false">VLOOKUP($A178,BD_Items,9,0)*$N178</f>
        <v>0</v>
      </c>
      <c r="J178" s="69" t="n">
        <f aca="false">VLOOKUP($A178,BD_Items,10,0)*$N178</f>
        <v>0</v>
      </c>
      <c r="K178" s="69" t="n">
        <f aca="false">VLOOKUP($A178,BD_Items,11,0)*$N178</f>
        <v>0</v>
      </c>
      <c r="L178" s="69" t="n">
        <f aca="false">VLOOKUP($A178,BD_Items,12,0)*$N178</f>
        <v>0</v>
      </c>
      <c r="M178" s="70" t="n">
        <f aca="false">VLOOKUP($A178,BD_Items,13,0)</f>
        <v>1200</v>
      </c>
      <c r="N178" s="21" t="n">
        <v>1</v>
      </c>
      <c r="O178" s="71" t="n">
        <f aca="false">M178*N178</f>
        <v>1200</v>
      </c>
      <c r="P178" s="68" t="n">
        <f aca="false">(D178*$N178)*(1+$S$1)</f>
        <v>6.5</v>
      </c>
      <c r="Q178" s="68" t="n">
        <f aca="false">(E178*$N178)*(1+$S$1)</f>
        <v>0</v>
      </c>
      <c r="R178" s="68" t="n">
        <f aca="false">(F178*$N178)*(1+$S$1)</f>
        <v>9.1</v>
      </c>
      <c r="S178" s="68" t="n">
        <f aca="false">(G178*$N178)*(1+$S$1)</f>
        <v>9.1</v>
      </c>
      <c r="T178" s="74" t="str">
        <f aca="false">VLOOKUP($A178,BD_Items,20,0)</f>
        <v>Potenciador de Trachyon II</v>
      </c>
      <c r="Y178" s="1"/>
      <c r="Z178" s="1"/>
      <c r="AA178" s="1"/>
    </row>
    <row r="179" customFormat="false" ht="12.8" hidden="false" customHeight="false" outlineLevel="0" collapsed="false">
      <c r="A179" s="45" t="s">
        <v>146</v>
      </c>
      <c r="B179" s="67" t="n">
        <v>0</v>
      </c>
      <c r="C179" s="67" t="n">
        <v>0</v>
      </c>
      <c r="D179" s="68" t="n">
        <f aca="false">VLOOKUP($A179,BD_Items,4,0)</f>
        <v>25</v>
      </c>
      <c r="E179" s="68" t="n">
        <f aca="false">VLOOKUP($A179,BD_Items,5,0)</f>
        <v>0</v>
      </c>
      <c r="F179" s="68" t="n">
        <f aca="false">VLOOKUP($A179,BD_Items,6,0)</f>
        <v>0</v>
      </c>
      <c r="G179" s="68" t="n">
        <f aca="false">VLOOKUP($A179,BD_Items,7,0)</f>
        <v>0</v>
      </c>
      <c r="H179" s="69" t="n">
        <f aca="false">VLOOKUP($A179,BD_Items,8,0)*$N179</f>
        <v>0</v>
      </c>
      <c r="I179" s="69" t="n">
        <f aca="false">VLOOKUP($A179,BD_Items,9,0)*$N179</f>
        <v>0</v>
      </c>
      <c r="J179" s="69" t="n">
        <f aca="false">VLOOKUP($A179,BD_Items,10,0)*$N179</f>
        <v>0</v>
      </c>
      <c r="K179" s="69" t="n">
        <f aca="false">VLOOKUP($A179,BD_Items,11,0)*$N179</f>
        <v>0</v>
      </c>
      <c r="L179" s="69" t="n">
        <f aca="false">VLOOKUP($A179,BD_Items,12,0)*$N179</f>
        <v>0</v>
      </c>
      <c r="M179" s="70" t="n">
        <f aca="false">VLOOKUP($A179,BD_Items,13,0)</f>
        <v>2700</v>
      </c>
      <c r="N179" s="21" t="n">
        <v>2</v>
      </c>
      <c r="O179" s="71" t="n">
        <f aca="false">M179*N179</f>
        <v>5400</v>
      </c>
      <c r="P179" s="68" t="n">
        <f aca="false">(D179*$N179)*(1+$S$1)</f>
        <v>65</v>
      </c>
      <c r="Q179" s="68" t="n">
        <f aca="false">(E179*$N179)*(1+$S$1)</f>
        <v>0</v>
      </c>
      <c r="R179" s="68" t="n">
        <f aca="false">(F179*$N179)*(1+$S$1)</f>
        <v>0</v>
      </c>
      <c r="S179" s="68" t="n">
        <f aca="false">(G179*$N179)*(1+$S$1)</f>
        <v>0</v>
      </c>
      <c r="T179" s="55" t="str">
        <f aca="false">VLOOKUP($A179,BD_Items,20,0)</f>
        <v>Potenciador de Carga X</v>
      </c>
      <c r="Y179" s="1"/>
      <c r="Z179" s="1"/>
      <c r="AA179" s="1"/>
    </row>
    <row r="180" customFormat="false" ht="12.8" hidden="false" customHeight="false" outlineLevel="0" collapsed="false">
      <c r="A180" s="63" t="s">
        <v>326</v>
      </c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6" t="n">
        <v>15285</v>
      </c>
      <c r="N180" s="65"/>
      <c r="O180" s="66" t="n">
        <f aca="false">SUM(O181:O184)</f>
        <v>13300</v>
      </c>
      <c r="P180" s="65" t="n">
        <f aca="false">SUM(P181:P184)</f>
        <v>104</v>
      </c>
      <c r="Q180" s="65" t="n">
        <f aca="false">SUM(Q181:Q184)</f>
        <v>104</v>
      </c>
      <c r="R180" s="65" t="n">
        <f aca="false">SUM(R181:R184)</f>
        <v>-39</v>
      </c>
      <c r="S180" s="65" t="n">
        <f aca="false">SUM(S181:S184)</f>
        <v>-39</v>
      </c>
      <c r="T180" s="46"/>
      <c r="Y180" s="1"/>
      <c r="Z180" s="1"/>
      <c r="AA180" s="1"/>
    </row>
    <row r="181" customFormat="false" ht="12.8" hidden="false" customHeight="false" outlineLevel="0" collapsed="false">
      <c r="A181" s="45" t="s">
        <v>302</v>
      </c>
      <c r="B181" s="67" t="n">
        <v>0</v>
      </c>
      <c r="C181" s="67" t="n">
        <v>0</v>
      </c>
      <c r="D181" s="68" t="n">
        <f aca="false">VLOOKUP($A181,BD_Items,4,0)</f>
        <v>0</v>
      </c>
      <c r="E181" s="68" t="n">
        <f aca="false">VLOOKUP($A181,BD_Items,5,0)</f>
        <v>0</v>
      </c>
      <c r="F181" s="68" t="n">
        <f aca="false">VLOOKUP($A181,BD_Items,6,0)</f>
        <v>0</v>
      </c>
      <c r="G181" s="68" t="n">
        <f aca="false">VLOOKUP($A181,BD_Items,7,0)</f>
        <v>0</v>
      </c>
      <c r="H181" s="69" t="n">
        <f aca="false">VLOOKUP($A181,BD_Items,8,0)*$N181</f>
        <v>28</v>
      </c>
      <c r="I181" s="69" t="n">
        <f aca="false">VLOOKUP($A181,BD_Items,9,0)*$N181</f>
        <v>0</v>
      </c>
      <c r="J181" s="69" t="n">
        <f aca="false">VLOOKUP($A181,BD_Items,10,0)*$N181</f>
        <v>0</v>
      </c>
      <c r="K181" s="69" t="n">
        <f aca="false">VLOOKUP($A181,BD_Items,11,0)*$N181</f>
        <v>0</v>
      </c>
      <c r="L181" s="69" t="n">
        <f aca="false">VLOOKUP($A181,BD_Items,12,0)*$N181</f>
        <v>0</v>
      </c>
      <c r="M181" s="70" t="n">
        <f aca="false">VLOOKUP($A181,BD_Items,13,0)</f>
        <v>300</v>
      </c>
      <c r="N181" s="21" t="n">
        <v>4</v>
      </c>
      <c r="O181" s="71" t="n">
        <f aca="false">M181*N181</f>
        <v>1200</v>
      </c>
      <c r="P181" s="68" t="n">
        <f aca="false">(D181*$N181)*(1+$S$1)</f>
        <v>0</v>
      </c>
      <c r="Q181" s="68" t="n">
        <f aca="false">(E181*$N181)*(1+$S$1)</f>
        <v>0</v>
      </c>
      <c r="R181" s="68" t="n">
        <f aca="false">(F181*$N181)*(1+$S$1)</f>
        <v>0</v>
      </c>
      <c r="S181" s="68" t="n">
        <f aca="false">(G181*$N181)*(1+$S$1)</f>
        <v>0</v>
      </c>
      <c r="T181" s="55" t="str">
        <f aca="false">VLOOKUP($A181,BD_Items,20,0)</f>
        <v>na</v>
      </c>
      <c r="Y181" s="1"/>
      <c r="Z181" s="1"/>
      <c r="AA181" s="1"/>
    </row>
    <row r="182" customFormat="false" ht="12.8" hidden="false" customHeight="false" outlineLevel="0" collapsed="false">
      <c r="A182" s="45" t="s">
        <v>301</v>
      </c>
      <c r="B182" s="67" t="n">
        <v>0</v>
      </c>
      <c r="C182" s="67" t="n">
        <v>0</v>
      </c>
      <c r="D182" s="68" t="n">
        <f aca="false">VLOOKUP($A182,BD_Items,4,0)</f>
        <v>0</v>
      </c>
      <c r="E182" s="68" t="n">
        <f aca="false">VLOOKUP($A182,BD_Items,5,0)</f>
        <v>0</v>
      </c>
      <c r="F182" s="68" t="n">
        <f aca="false">VLOOKUP($A182,BD_Items,6,0)</f>
        <v>0</v>
      </c>
      <c r="G182" s="68" t="n">
        <f aca="false">VLOOKUP($A182,BD_Items,7,0)</f>
        <v>0</v>
      </c>
      <c r="H182" s="69" t="n">
        <f aca="false">VLOOKUP($A182,BD_Items,8,0)*$N182</f>
        <v>0</v>
      </c>
      <c r="I182" s="69" t="n">
        <f aca="false">VLOOKUP($A182,BD_Items,9,0)*$N182</f>
        <v>21</v>
      </c>
      <c r="J182" s="69" t="n">
        <f aca="false">VLOOKUP($A182,BD_Items,10,0)*$N182</f>
        <v>0</v>
      </c>
      <c r="K182" s="69" t="n">
        <f aca="false">VLOOKUP($A182,BD_Items,11,0)*$N182</f>
        <v>0</v>
      </c>
      <c r="L182" s="69" t="n">
        <f aca="false">VLOOKUP($A182,BD_Items,12,0)*$N182</f>
        <v>0</v>
      </c>
      <c r="M182" s="70" t="n">
        <f aca="false">VLOOKUP($A182,BD_Items,13,0)</f>
        <v>300</v>
      </c>
      <c r="N182" s="21" t="n">
        <v>3</v>
      </c>
      <c r="O182" s="71" t="n">
        <f aca="false">M182*N182</f>
        <v>900</v>
      </c>
      <c r="P182" s="68" t="n">
        <f aca="false">(D182*$N182)*(1+$S$1)</f>
        <v>0</v>
      </c>
      <c r="Q182" s="68" t="n">
        <f aca="false">(E182*$N182)*(1+$S$1)</f>
        <v>0</v>
      </c>
      <c r="R182" s="68" t="n">
        <f aca="false">(F182*$N182)*(1+$S$1)</f>
        <v>0</v>
      </c>
      <c r="S182" s="68" t="n">
        <f aca="false">(G182*$N182)*(1+$S$1)</f>
        <v>0</v>
      </c>
      <c r="T182" s="55" t="str">
        <f aca="false">VLOOKUP($A182,BD_Items,20,0)</f>
        <v>na</v>
      </c>
      <c r="Y182" s="1"/>
      <c r="Z182" s="1"/>
      <c r="AA182" s="1"/>
    </row>
    <row r="183" customFormat="false" ht="12.8" hidden="false" customHeight="false" outlineLevel="0" collapsed="false">
      <c r="A183" s="45" t="s">
        <v>300</v>
      </c>
      <c r="B183" s="67" t="n">
        <v>0</v>
      </c>
      <c r="C183" s="67" t="n">
        <v>0</v>
      </c>
      <c r="D183" s="68" t="n">
        <f aca="false">VLOOKUP($A183,BD_Items,4,0)</f>
        <v>0</v>
      </c>
      <c r="E183" s="68" t="n">
        <f aca="false">VLOOKUP($A183,BD_Items,5,0)</f>
        <v>0</v>
      </c>
      <c r="F183" s="68" t="n">
        <f aca="false">VLOOKUP($A183,BD_Items,6,0)</f>
        <v>0</v>
      </c>
      <c r="G183" s="68" t="n">
        <f aca="false">VLOOKUP($A183,BD_Items,7,0)</f>
        <v>0</v>
      </c>
      <c r="H183" s="69" t="n">
        <f aca="false">VLOOKUP($A183,BD_Items,8,0)*$N183</f>
        <v>0</v>
      </c>
      <c r="I183" s="69" t="n">
        <f aca="false">VLOOKUP($A183,BD_Items,9,0)*$N183</f>
        <v>0</v>
      </c>
      <c r="J183" s="69" t="n">
        <f aca="false">VLOOKUP($A183,BD_Items,10,0)*$N183</f>
        <v>28</v>
      </c>
      <c r="K183" s="69" t="n">
        <f aca="false">VLOOKUP($A183,BD_Items,11,0)*$N183</f>
        <v>0</v>
      </c>
      <c r="L183" s="69" t="n">
        <f aca="false">VLOOKUP($A183,BD_Items,12,0)*$N183</f>
        <v>0</v>
      </c>
      <c r="M183" s="70" t="n">
        <f aca="false">VLOOKUP($A183,BD_Items,13,0)</f>
        <v>300</v>
      </c>
      <c r="N183" s="21" t="n">
        <v>4</v>
      </c>
      <c r="O183" s="71" t="n">
        <f aca="false">M183*N183</f>
        <v>1200</v>
      </c>
      <c r="P183" s="68" t="n">
        <f aca="false">(D183*$N183)*(1+$S$1)</f>
        <v>0</v>
      </c>
      <c r="Q183" s="68" t="n">
        <f aca="false">(E183*$N183)*(1+$S$1)</f>
        <v>0</v>
      </c>
      <c r="R183" s="68" t="n">
        <f aca="false">(F183*$N183)*(1+$S$1)</f>
        <v>0</v>
      </c>
      <c r="S183" s="68" t="n">
        <f aca="false">(G183*$N183)*(1+$S$1)</f>
        <v>0</v>
      </c>
      <c r="T183" s="55" t="str">
        <f aca="false">VLOOKUP($A183,BD_Items,20,0)</f>
        <v>na</v>
      </c>
      <c r="Y183" s="1"/>
      <c r="Z183" s="1"/>
      <c r="AA183" s="1"/>
    </row>
    <row r="184" customFormat="false" ht="12.8" hidden="false" customHeight="false" outlineLevel="0" collapsed="false">
      <c r="A184" s="20" t="s">
        <v>140</v>
      </c>
      <c r="B184" s="67" t="n">
        <v>0</v>
      </c>
      <c r="C184" s="67" t="n">
        <v>0</v>
      </c>
      <c r="D184" s="68" t="n">
        <f aca="false">VLOOKUP($A184,BD_Items,4,0)</f>
        <v>8</v>
      </c>
      <c r="E184" s="68" t="n">
        <f aca="false">VLOOKUP($A184,BD_Items,5,0)</f>
        <v>8</v>
      </c>
      <c r="F184" s="68" t="n">
        <f aca="false">VLOOKUP($A184,BD_Items,6,0)</f>
        <v>-3</v>
      </c>
      <c r="G184" s="68" t="n">
        <f aca="false">VLOOKUP($A184,BD_Items,7,0)</f>
        <v>-3</v>
      </c>
      <c r="H184" s="69" t="n">
        <f aca="false">VLOOKUP($A184,BD_Items,8,0)*$N184</f>
        <v>0</v>
      </c>
      <c r="I184" s="69" t="n">
        <f aca="false">VLOOKUP($A184,BD_Items,9,0)*$N184</f>
        <v>0</v>
      </c>
      <c r="J184" s="69" t="n">
        <f aca="false">VLOOKUP($A184,BD_Items,10,0)*$N184</f>
        <v>0</v>
      </c>
      <c r="K184" s="69" t="n">
        <f aca="false">VLOOKUP($A184,BD_Items,11,0)*$N184</f>
        <v>0</v>
      </c>
      <c r="L184" s="69" t="n">
        <f aca="false">VLOOKUP($A184,BD_Items,12,0)*$N184</f>
        <v>0</v>
      </c>
      <c r="M184" s="70" t="n">
        <f aca="false">VLOOKUP($A184,BD_Items,13,0)</f>
        <v>1000</v>
      </c>
      <c r="N184" s="21" t="n">
        <v>10</v>
      </c>
      <c r="O184" s="71" t="n">
        <f aca="false">M184*N184</f>
        <v>10000</v>
      </c>
      <c r="P184" s="68" t="n">
        <f aca="false">(D184*$N184)*(1+$S$1)</f>
        <v>104</v>
      </c>
      <c r="Q184" s="68" t="n">
        <f aca="false">(E184*$N184)*(1+$S$1)</f>
        <v>104</v>
      </c>
      <c r="R184" s="68" t="n">
        <f aca="false">(F184*$N184)*(1+$S$1)</f>
        <v>-39</v>
      </c>
      <c r="S184" s="68" t="n">
        <f aca="false">(G184*$N184)*(1+$S$1)</f>
        <v>-39</v>
      </c>
      <c r="T184" s="55" t="str">
        <f aca="false">VLOOKUP($A184,BD_Items,20,0)</f>
        <v>Aplastador X</v>
      </c>
      <c r="Y184" s="1"/>
      <c r="Z184" s="1"/>
      <c r="AA184" s="1"/>
    </row>
    <row r="185" customFormat="false" ht="12.8" hidden="false" customHeight="false" outlineLevel="0" collapsed="false">
      <c r="A185" s="63" t="s">
        <v>327</v>
      </c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6" t="n">
        <v>22150</v>
      </c>
      <c r="N185" s="65"/>
      <c r="O185" s="66" t="n">
        <f aca="false">SUM(O186:O186)</f>
        <v>21000</v>
      </c>
      <c r="P185" s="65" t="n">
        <f aca="false">SUM(P186:P186)</f>
        <v>218.4</v>
      </c>
      <c r="Q185" s="65" t="n">
        <f aca="false">SUM(Q186:Q186)</f>
        <v>218.4</v>
      </c>
      <c r="R185" s="65" t="n">
        <f aca="false">SUM(R186:R186)</f>
        <v>-81.9</v>
      </c>
      <c r="S185" s="65" t="n">
        <f aca="false">SUM(S186:S186)</f>
        <v>-81.9</v>
      </c>
      <c r="T185" s="46"/>
      <c r="Y185" s="1"/>
      <c r="Z185" s="1"/>
      <c r="AA185" s="1"/>
    </row>
    <row r="186" customFormat="false" ht="12.8" hidden="false" customHeight="false" outlineLevel="0" collapsed="false">
      <c r="A186" s="30" t="s">
        <v>140</v>
      </c>
      <c r="B186" s="67" t="n">
        <f aca="false">VLOOKUP($A186,BD_Items,2,0)</f>
        <v>0</v>
      </c>
      <c r="C186" s="67" t="n">
        <f aca="false">VLOOKUP($A186,BD_Items,3,0)</f>
        <v>0</v>
      </c>
      <c r="D186" s="68" t="n">
        <f aca="false">VLOOKUP($A186,BD_Items,4,0)</f>
        <v>8</v>
      </c>
      <c r="E186" s="68" t="n">
        <f aca="false">VLOOKUP($A186,BD_Items,5,0)</f>
        <v>8</v>
      </c>
      <c r="F186" s="68" t="n">
        <f aca="false">VLOOKUP($A186,BD_Items,6,0)</f>
        <v>-3</v>
      </c>
      <c r="G186" s="68" t="n">
        <f aca="false">VLOOKUP($A186,BD_Items,7,0)</f>
        <v>-3</v>
      </c>
      <c r="H186" s="69" t="n">
        <f aca="false">VLOOKUP($A186,BD_Items,8,0)*$N186</f>
        <v>0</v>
      </c>
      <c r="I186" s="69" t="n">
        <f aca="false">VLOOKUP($A186,BD_Items,9,0)*$N186</f>
        <v>0</v>
      </c>
      <c r="J186" s="69" t="n">
        <f aca="false">VLOOKUP($A186,BD_Items,10,0)*$N186</f>
        <v>0</v>
      </c>
      <c r="K186" s="69" t="n">
        <f aca="false">VLOOKUP($A186,BD_Items,11,0)*$N186</f>
        <v>0</v>
      </c>
      <c r="L186" s="69" t="n">
        <f aca="false">VLOOKUP($A186,BD_Items,12,0)*$N186</f>
        <v>0</v>
      </c>
      <c r="M186" s="70" t="n">
        <f aca="false">VLOOKUP($A186,BD_Items,13,0)</f>
        <v>1000</v>
      </c>
      <c r="N186" s="21" t="n">
        <v>21</v>
      </c>
      <c r="O186" s="71" t="n">
        <f aca="false">M186*N186</f>
        <v>21000</v>
      </c>
      <c r="P186" s="68" t="n">
        <f aca="false">(D186*$N186)*(1+$S$1)</f>
        <v>218.4</v>
      </c>
      <c r="Q186" s="68" t="n">
        <f aca="false">(E186*$N186)*(1+$S$1)</f>
        <v>218.4</v>
      </c>
      <c r="R186" s="68" t="n">
        <f aca="false">(F186*$N186)*(1+$S$1)</f>
        <v>-81.9</v>
      </c>
      <c r="S186" s="68" t="n">
        <f aca="false">(G186*$N186)*(1+$S$1)</f>
        <v>-81.9</v>
      </c>
      <c r="T186" s="55" t="str">
        <f aca="false">VLOOKUP($A186,BD_Items,20,0)</f>
        <v>Aplastador X</v>
      </c>
      <c r="Y186" s="1"/>
      <c r="Z186" s="1"/>
      <c r="AA186" s="1"/>
    </row>
    <row r="187" customFormat="false" ht="12.8" hidden="false" customHeight="false" outlineLevel="0" collapsed="false">
      <c r="A187" s="63" t="s">
        <v>328</v>
      </c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6" t="n">
        <v>12285</v>
      </c>
      <c r="N187" s="65"/>
      <c r="O187" s="66" t="n">
        <f aca="false">SUM(O188:O189)</f>
        <v>17400</v>
      </c>
      <c r="P187" s="65" t="n">
        <f aca="false">SUM(P188:P189)</f>
        <v>184.6</v>
      </c>
      <c r="Q187" s="65" t="n">
        <f aca="false">SUM(Q188:Q189)</f>
        <v>145.6</v>
      </c>
      <c r="R187" s="65" t="n">
        <f aca="false">SUM(R188:R189)</f>
        <v>-54.6</v>
      </c>
      <c r="S187" s="65" t="n">
        <f aca="false">SUM(S188:S189)</f>
        <v>-54.6</v>
      </c>
      <c r="T187" s="46"/>
      <c r="Y187" s="1"/>
      <c r="Z187" s="1"/>
      <c r="AA187" s="1"/>
    </row>
    <row r="188" customFormat="false" ht="12.8" hidden="false" customHeight="false" outlineLevel="0" collapsed="false">
      <c r="A188" s="45" t="s">
        <v>140</v>
      </c>
      <c r="B188" s="67" t="n">
        <v>0</v>
      </c>
      <c r="C188" s="67" t="n">
        <v>0</v>
      </c>
      <c r="D188" s="68" t="n">
        <f aca="false">VLOOKUP($A188,BD_Items,4,0)</f>
        <v>8</v>
      </c>
      <c r="E188" s="68" t="n">
        <f aca="false">VLOOKUP($A188,BD_Items,5,0)</f>
        <v>8</v>
      </c>
      <c r="F188" s="68" t="n">
        <f aca="false">VLOOKUP($A188,BD_Items,6,0)</f>
        <v>-3</v>
      </c>
      <c r="G188" s="68" t="n">
        <f aca="false">VLOOKUP($A188,BD_Items,7,0)</f>
        <v>-3</v>
      </c>
      <c r="H188" s="69" t="n">
        <f aca="false">VLOOKUP($A188,BD_Items,8,0)*$N188</f>
        <v>0</v>
      </c>
      <c r="I188" s="69" t="n">
        <f aca="false">VLOOKUP($A188,BD_Items,9,0)*$N188</f>
        <v>0</v>
      </c>
      <c r="J188" s="69" t="n">
        <f aca="false">VLOOKUP($A188,BD_Items,10,0)*$N188</f>
        <v>0</v>
      </c>
      <c r="K188" s="69" t="n">
        <f aca="false">VLOOKUP($A188,BD_Items,11,0)*$N188</f>
        <v>0</v>
      </c>
      <c r="L188" s="69" t="n">
        <f aca="false">VLOOKUP($A188,BD_Items,12,0)*$N188</f>
        <v>0</v>
      </c>
      <c r="M188" s="70" t="n">
        <f aca="false">VLOOKUP($A188,BD_Items,13,0)</f>
        <v>1000</v>
      </c>
      <c r="N188" s="21" t="n">
        <v>14</v>
      </c>
      <c r="O188" s="71" t="n">
        <f aca="false">M188*N188</f>
        <v>14000</v>
      </c>
      <c r="P188" s="68" t="n">
        <f aca="false">(D188*$N188)*(1+$S$1)</f>
        <v>145.6</v>
      </c>
      <c r="Q188" s="68" t="n">
        <f aca="false">(E188*$N188)*(1+$S$1)</f>
        <v>145.6</v>
      </c>
      <c r="R188" s="68" t="n">
        <f aca="false">(F188*$N188)*(1+$S$1)</f>
        <v>-54.6</v>
      </c>
      <c r="S188" s="68" t="n">
        <f aca="false">(G188*$N188)*(1+$S$1)</f>
        <v>-54.6</v>
      </c>
      <c r="T188" s="55" t="str">
        <f aca="false">VLOOKUP($A188,BD_Items,20,0)</f>
        <v>Aplastador X</v>
      </c>
      <c r="Y188" s="1"/>
      <c r="Z188" s="1"/>
      <c r="AA188" s="1"/>
    </row>
    <row r="189" customFormat="false" ht="12.8" hidden="false" customHeight="false" outlineLevel="0" collapsed="false">
      <c r="A189" s="45" t="s">
        <v>247</v>
      </c>
      <c r="B189" s="67" t="n">
        <v>0</v>
      </c>
      <c r="C189" s="67" t="n">
        <v>0</v>
      </c>
      <c r="D189" s="68" t="n">
        <f aca="false">VLOOKUP($A189,BD_Items,4,0)</f>
        <v>30</v>
      </c>
      <c r="E189" s="68" t="n">
        <f aca="false">VLOOKUP($A189,BD_Items,5,0)</f>
        <v>0</v>
      </c>
      <c r="F189" s="68" t="n">
        <f aca="false">VLOOKUP($A189,BD_Items,6,0)</f>
        <v>0</v>
      </c>
      <c r="G189" s="68" t="n">
        <f aca="false">VLOOKUP($A189,BD_Items,7,0)</f>
        <v>0</v>
      </c>
      <c r="H189" s="69" t="n">
        <f aca="false">VLOOKUP($A189,BD_Items,8,0)*$N189</f>
        <v>0</v>
      </c>
      <c r="I189" s="69" t="n">
        <f aca="false">VLOOKUP($A189,BD_Items,9,0)*$N189</f>
        <v>0</v>
      </c>
      <c r="J189" s="69" t="n">
        <f aca="false">VLOOKUP($A189,BD_Items,10,0)*$N189</f>
        <v>0</v>
      </c>
      <c r="K189" s="69" t="n">
        <f aca="false">VLOOKUP($A189,BD_Items,11,0)*$N189</f>
        <v>0</v>
      </c>
      <c r="L189" s="69" t="n">
        <f aca="false">VLOOKUP($A189,BD_Items,12,0)*$N189</f>
        <v>0</v>
      </c>
      <c r="M189" s="70" t="n">
        <f aca="false">VLOOKUP($A189,BD_Items,13,0)</f>
        <v>3400</v>
      </c>
      <c r="N189" s="21" t="n">
        <v>1</v>
      </c>
      <c r="O189" s="71" t="n">
        <f aca="false">M189*N189</f>
        <v>3400</v>
      </c>
      <c r="P189" s="68" t="n">
        <f aca="false">(D189*$N189)*(1+$S$1)</f>
        <v>39</v>
      </c>
      <c r="Q189" s="68" t="n">
        <f aca="false">(E189*$N189)*(1+$S$1)</f>
        <v>0</v>
      </c>
      <c r="R189" s="68" t="n">
        <f aca="false">(F189*$N189)*(1+$S$1)</f>
        <v>0</v>
      </c>
      <c r="S189" s="68" t="n">
        <f aca="false">(G189*$N189)*(1+$S$1)</f>
        <v>0</v>
      </c>
      <c r="T189" s="55" t="str">
        <f aca="false">VLOOKUP($A189,BD_Items,20,0)</f>
        <v>na</v>
      </c>
      <c r="Y189" s="1"/>
      <c r="Z189" s="1"/>
      <c r="AA189" s="1"/>
    </row>
    <row r="190" customFormat="false" ht="12.8" hidden="false" customHeight="false" outlineLevel="0" collapsed="false">
      <c r="A190" s="52" t="s">
        <v>314</v>
      </c>
      <c r="B190" s="52"/>
      <c r="C190" s="52"/>
      <c r="D190" s="52"/>
      <c r="E190" s="52"/>
      <c r="F190" s="52"/>
      <c r="G190" s="52"/>
      <c r="H190" s="52" t="n">
        <f aca="false">SUM(H176:H189)*(1+$S$1)</f>
        <v>36.4</v>
      </c>
      <c r="I190" s="52" t="n">
        <f aca="false">SUM(I176:I189)*(1+$S$1)</f>
        <v>27.3</v>
      </c>
      <c r="J190" s="52" t="n">
        <f aca="false">SUM(J176:J189)*(1+$S$1)</f>
        <v>36.4</v>
      </c>
      <c r="K190" s="52" t="n">
        <f aca="false">SUM(K176:K189)*(1+$S$1)</f>
        <v>0</v>
      </c>
      <c r="L190" s="52" t="n">
        <f aca="false">SUM(L176:L189)*(1+$S$1)</f>
        <v>0</v>
      </c>
      <c r="M190" s="72" t="n">
        <f aca="false">M175+M180+M185+M187</f>
        <v>58600</v>
      </c>
      <c r="N190" s="52"/>
      <c r="O190" s="72" t="n">
        <f aca="false">O175+O180+O185+O187</f>
        <v>61800</v>
      </c>
      <c r="P190" s="73" t="n">
        <f aca="false">P175+P180+P185+P187</f>
        <v>608.4</v>
      </c>
      <c r="Q190" s="73" t="n">
        <f aca="false">Q175+Q180+Q185+Q187</f>
        <v>478.4</v>
      </c>
      <c r="R190" s="73" t="n">
        <f aca="false">R175+R180+R185+R187</f>
        <v>-150.8</v>
      </c>
      <c r="S190" s="73" t="n">
        <f aca="false">S175+S180+S185+S187</f>
        <v>-150.8</v>
      </c>
      <c r="T190" s="59" t="n">
        <f aca="false">(P190+Q190+R190+S190)/4</f>
        <v>196.3</v>
      </c>
      <c r="Y190" s="1"/>
      <c r="Z190" s="1"/>
      <c r="AA190" s="1"/>
    </row>
    <row r="191" customFormat="false" ht="12.8" hidden="false" customHeight="false" outlineLevel="0" collapsed="false">
      <c r="Y191" s="1"/>
      <c r="Z191" s="1"/>
      <c r="AA191" s="1"/>
    </row>
    <row r="192" customFormat="false" ht="12.8" hidden="false" customHeight="false" outlineLevel="0" collapsed="false">
      <c r="Y192" s="1"/>
      <c r="Z192" s="1"/>
      <c r="AA192" s="1"/>
    </row>
    <row r="193" customFormat="false" ht="12.8" hidden="false" customHeight="false" outlineLevel="0" collapsed="false">
      <c r="Y193" s="1"/>
      <c r="Z193" s="1"/>
      <c r="AA193" s="1"/>
    </row>
    <row r="194" customFormat="false" ht="12.8" hidden="false" customHeight="false" outlineLevel="0" collapsed="false">
      <c r="A194" s="51" t="s">
        <v>329</v>
      </c>
      <c r="B194" s="52" t="s">
        <v>142</v>
      </c>
      <c r="C194" s="52" t="s">
        <v>145</v>
      </c>
      <c r="D194" s="52" t="s">
        <v>118</v>
      </c>
      <c r="E194" s="52" t="s">
        <v>160</v>
      </c>
      <c r="F194" s="52" t="s">
        <v>161</v>
      </c>
      <c r="G194" s="52" t="s">
        <v>162</v>
      </c>
      <c r="H194" s="52" t="s">
        <v>163</v>
      </c>
      <c r="I194" s="52" t="s">
        <v>164</v>
      </c>
      <c r="J194" s="52" t="s">
        <v>165</v>
      </c>
      <c r="K194" s="52" t="s">
        <v>166</v>
      </c>
      <c r="L194" s="52" t="s">
        <v>167</v>
      </c>
      <c r="M194" s="52" t="s">
        <v>119</v>
      </c>
      <c r="N194" s="52" t="s">
        <v>317</v>
      </c>
      <c r="O194" s="62" t="s">
        <v>318</v>
      </c>
      <c r="P194" s="52" t="s">
        <v>118</v>
      </c>
      <c r="Q194" s="52" t="s">
        <v>160</v>
      </c>
      <c r="R194" s="52" t="s">
        <v>306</v>
      </c>
      <c r="S194" s="52" t="s">
        <v>307</v>
      </c>
      <c r="T194" s="52" t="s">
        <v>172</v>
      </c>
      <c r="W194" s="12" t="s">
        <v>330</v>
      </c>
      <c r="Y194" s="1"/>
      <c r="Z194" s="1"/>
      <c r="AA194" s="1"/>
    </row>
    <row r="195" customFormat="false" ht="12.8" hidden="false" customHeight="false" outlineLevel="0" collapsed="false">
      <c r="A195" s="63" t="s">
        <v>331</v>
      </c>
      <c r="B195" s="6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6" t="n">
        <v>18730</v>
      </c>
      <c r="N195" s="65"/>
      <c r="O195" s="66" t="n">
        <f aca="false">SUM(O196:O196)</f>
        <v>20000</v>
      </c>
      <c r="P195" s="65" t="n">
        <f aca="false">SUM(P196:P196)</f>
        <v>156</v>
      </c>
      <c r="Q195" s="65" t="n">
        <f aca="false">SUM(Q196:Q196)</f>
        <v>0</v>
      </c>
      <c r="R195" s="65" t="n">
        <f aca="false">SUM(R196:R196)</f>
        <v>156</v>
      </c>
      <c r="S195" s="65" t="n">
        <f aca="false">SUM(S196:S196)</f>
        <v>156</v>
      </c>
      <c r="T195" s="46"/>
      <c r="Y195" s="1"/>
      <c r="Z195" s="1"/>
      <c r="AA195" s="1"/>
    </row>
    <row r="196" customFormat="false" ht="12.8" hidden="false" customHeight="false" outlineLevel="0" collapsed="false">
      <c r="A196" s="45" t="s">
        <v>178</v>
      </c>
      <c r="B196" s="67" t="n">
        <f aca="false">VLOOKUP($A196,BD_Items,2,0)</f>
        <v>0</v>
      </c>
      <c r="C196" s="67" t="n">
        <f aca="false">VLOOKUP($A196,BD_Items,3,0)</f>
        <v>0</v>
      </c>
      <c r="D196" s="68" t="n">
        <f aca="false">VLOOKUP($A196,BD_Items,4,0)</f>
        <v>15</v>
      </c>
      <c r="E196" s="68" t="n">
        <f aca="false">VLOOKUP($A196,BD_Items,5,0)</f>
        <v>0</v>
      </c>
      <c r="F196" s="68" t="n">
        <f aca="false">VLOOKUP($A196,BD_Items,6,0)</f>
        <v>15</v>
      </c>
      <c r="G196" s="68" t="n">
        <f aca="false">VLOOKUP($A196,BD_Items,7,0)</f>
        <v>15</v>
      </c>
      <c r="H196" s="69" t="n">
        <f aca="false">VLOOKUP($A196,BD_Items,8,0)*$N196</f>
        <v>0</v>
      </c>
      <c r="I196" s="69" t="n">
        <f aca="false">VLOOKUP($A196,BD_Items,9,0)*$N196</f>
        <v>0</v>
      </c>
      <c r="J196" s="69" t="n">
        <f aca="false">VLOOKUP($A196,BD_Items,10,0)*$N196</f>
        <v>0</v>
      </c>
      <c r="K196" s="69" t="n">
        <f aca="false">VLOOKUP($A196,BD_Items,11,0)*$N196</f>
        <v>0</v>
      </c>
      <c r="L196" s="69" t="n">
        <f aca="false">VLOOKUP($A196,BD_Items,12,0)*$N196</f>
        <v>0</v>
      </c>
      <c r="M196" s="70" t="n">
        <f aca="false">VLOOKUP($A196,BD_Items,13,0)</f>
        <v>2500</v>
      </c>
      <c r="N196" s="21" t="n">
        <v>8</v>
      </c>
      <c r="O196" s="71" t="n">
        <f aca="false">M196*N196</f>
        <v>20000</v>
      </c>
      <c r="P196" s="68" t="n">
        <f aca="false">(D196*$N196)*(1+$S$1)</f>
        <v>156</v>
      </c>
      <c r="Q196" s="68" t="n">
        <f aca="false">(E196*$N196)*(1+$S$1)</f>
        <v>0</v>
      </c>
      <c r="R196" s="68" t="n">
        <f aca="false">(F196*$N196)*(1+$S$1)</f>
        <v>156</v>
      </c>
      <c r="S196" s="68" t="n">
        <f aca="false">(G196*$N196)*(1+$S$1)</f>
        <v>156</v>
      </c>
      <c r="T196" s="55" t="str">
        <f aca="false">VLOOKUP($A196,BD_Items,20,0)</f>
        <v>Flaqueza X</v>
      </c>
      <c r="Y196" s="1"/>
      <c r="Z196" s="1"/>
      <c r="AA196" s="1"/>
    </row>
    <row r="197" customFormat="false" ht="12.8" hidden="false" customHeight="false" outlineLevel="0" collapsed="false">
      <c r="A197" s="63" t="s">
        <v>332</v>
      </c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6" t="n">
        <v>27585</v>
      </c>
      <c r="N197" s="65"/>
      <c r="O197" s="66" t="n">
        <f aca="false">SUM(O198:O198)</f>
        <v>27500</v>
      </c>
      <c r="P197" s="65" t="n">
        <f aca="false">SUM(P198:P198)</f>
        <v>214.5</v>
      </c>
      <c r="Q197" s="65" t="n">
        <f aca="false">SUM(Q198:Q198)</f>
        <v>0</v>
      </c>
      <c r="R197" s="65" t="n">
        <f aca="false">SUM(R198:R198)</f>
        <v>214.5</v>
      </c>
      <c r="S197" s="65" t="n">
        <f aca="false">SUM(S198:S198)</f>
        <v>214.5</v>
      </c>
      <c r="T197" s="46"/>
      <c r="Y197" s="1"/>
      <c r="Z197" s="1"/>
      <c r="AA197" s="1"/>
    </row>
    <row r="198" customFormat="false" ht="12.8" hidden="false" customHeight="false" outlineLevel="0" collapsed="false">
      <c r="A198" s="45" t="s">
        <v>178</v>
      </c>
      <c r="B198" s="67" t="n">
        <f aca="false">VLOOKUP($A198,BD_Items,2,0)</f>
        <v>0</v>
      </c>
      <c r="C198" s="67" t="n">
        <f aca="false">VLOOKUP($A198,BD_Items,3,0)</f>
        <v>0</v>
      </c>
      <c r="D198" s="68" t="n">
        <f aca="false">VLOOKUP($A198,BD_Items,4,0)</f>
        <v>15</v>
      </c>
      <c r="E198" s="68" t="n">
        <f aca="false">VLOOKUP($A198,BD_Items,5,0)</f>
        <v>0</v>
      </c>
      <c r="F198" s="68" t="n">
        <f aca="false">VLOOKUP($A198,BD_Items,6,0)</f>
        <v>15</v>
      </c>
      <c r="G198" s="68" t="n">
        <f aca="false">VLOOKUP($A198,BD_Items,7,0)</f>
        <v>15</v>
      </c>
      <c r="H198" s="69" t="n">
        <f aca="false">VLOOKUP($A198,BD_Items,8,0)*$N198</f>
        <v>0</v>
      </c>
      <c r="I198" s="69" t="n">
        <f aca="false">VLOOKUP($A198,BD_Items,9,0)*$N198</f>
        <v>0</v>
      </c>
      <c r="J198" s="69" t="n">
        <f aca="false">VLOOKUP($A198,BD_Items,10,0)*$N198</f>
        <v>0</v>
      </c>
      <c r="K198" s="69" t="n">
        <f aca="false">VLOOKUP($A198,BD_Items,11,0)*$N198</f>
        <v>0</v>
      </c>
      <c r="L198" s="69" t="n">
        <f aca="false">VLOOKUP($A198,BD_Items,12,0)*$N198</f>
        <v>0</v>
      </c>
      <c r="M198" s="70" t="n">
        <f aca="false">VLOOKUP($A198,BD_Items,13,0)</f>
        <v>2500</v>
      </c>
      <c r="N198" s="21" t="n">
        <v>11</v>
      </c>
      <c r="O198" s="71" t="n">
        <f aca="false">M198*N198</f>
        <v>27500</v>
      </c>
      <c r="P198" s="68" t="n">
        <f aca="false">(D198*$N198)*(1+$S$1)</f>
        <v>214.5</v>
      </c>
      <c r="Q198" s="68" t="n">
        <f aca="false">(E198*$N198)*(1+$S$1)</f>
        <v>0</v>
      </c>
      <c r="R198" s="68" t="n">
        <f aca="false">(F198*$N198)*(1+$S$1)</f>
        <v>214.5</v>
      </c>
      <c r="S198" s="68" t="n">
        <f aca="false">(G198*$N198)*(1+$S$1)</f>
        <v>214.5</v>
      </c>
      <c r="T198" s="55" t="str">
        <f aca="false">VLOOKUP($A198,BD_Items,20,0)</f>
        <v>Flaqueza X</v>
      </c>
      <c r="Y198" s="1"/>
      <c r="Z198" s="1"/>
      <c r="AA198" s="1"/>
    </row>
    <row r="199" customFormat="false" ht="12.8" hidden="false" customHeight="false" outlineLevel="0" collapsed="false">
      <c r="A199" s="63" t="s">
        <v>333</v>
      </c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6" t="n">
        <v>12285</v>
      </c>
      <c r="N199" s="65"/>
      <c r="O199" s="66" t="n">
        <f aca="false">SUM(O200:O204)</f>
        <v>13590</v>
      </c>
      <c r="P199" s="65" t="n">
        <f aca="false">SUM(P200:P204)</f>
        <v>45.5</v>
      </c>
      <c r="Q199" s="65" t="n">
        <f aca="false">SUM(Q200:Q204)</f>
        <v>117</v>
      </c>
      <c r="R199" s="65" t="n">
        <f aca="false">SUM(R200:R204)</f>
        <v>39</v>
      </c>
      <c r="S199" s="65" t="n">
        <f aca="false">SUM(S200:S204)</f>
        <v>41.6</v>
      </c>
      <c r="T199" s="46"/>
      <c r="Y199" s="1"/>
      <c r="Z199" s="1"/>
      <c r="AA199" s="1"/>
    </row>
    <row r="200" customFormat="false" ht="12.8" hidden="false" customHeight="false" outlineLevel="0" collapsed="false">
      <c r="A200" s="30" t="s">
        <v>304</v>
      </c>
      <c r="B200" s="67" t="n">
        <f aca="false">VLOOKUP($A200,BD_Items,2,0)</f>
        <v>0</v>
      </c>
      <c r="C200" s="67" t="n">
        <f aca="false">VLOOKUP($A200,BD_Items,3,0)</f>
        <v>0</v>
      </c>
      <c r="D200" s="68" t="n">
        <f aca="false">VLOOKUP($A200,BD_Items,4,0)</f>
        <v>0</v>
      </c>
      <c r="E200" s="68" t="n">
        <f aca="false">VLOOKUP($A200,BD_Items,5,0)</f>
        <v>0</v>
      </c>
      <c r="F200" s="68" t="n">
        <f aca="false">VLOOKUP($A200,BD_Items,6,0)</f>
        <v>0</v>
      </c>
      <c r="G200" s="68" t="n">
        <f aca="false">VLOOKUP($A200,BD_Items,7,0)</f>
        <v>0</v>
      </c>
      <c r="H200" s="69" t="n">
        <f aca="false">VLOOKUP($A200,BD_Items,8,0)*$N200</f>
        <v>0</v>
      </c>
      <c r="I200" s="69" t="n">
        <f aca="false">VLOOKUP($A200,BD_Items,9,0)*$N200</f>
        <v>0</v>
      </c>
      <c r="J200" s="69" t="n">
        <f aca="false">VLOOKUP($A200,BD_Items,10,0)*$N200</f>
        <v>0</v>
      </c>
      <c r="K200" s="69" t="n">
        <f aca="false">VLOOKUP($A200,BD_Items,11,0)*$N200</f>
        <v>0</v>
      </c>
      <c r="L200" s="69" t="n">
        <f aca="false">VLOOKUP($A200,BD_Items,12,0)*$N200</f>
        <v>0</v>
      </c>
      <c r="M200" s="70" t="n">
        <f aca="false">VLOOKUP($A200,BD_Items,13,0)</f>
        <v>0</v>
      </c>
      <c r="N200" s="21" t="n">
        <v>2</v>
      </c>
      <c r="O200" s="71" t="n">
        <f aca="false">M200*N200</f>
        <v>0</v>
      </c>
      <c r="P200" s="68" t="n">
        <f aca="false">(D200*$N200)*(1+$S$1)</f>
        <v>0</v>
      </c>
      <c r="Q200" s="68" t="n">
        <f aca="false">(E200*$N200)*(1+$S$1)</f>
        <v>0</v>
      </c>
      <c r="R200" s="68" t="n">
        <f aca="false">(F200*$N200)*(1+$S$1)</f>
        <v>0</v>
      </c>
      <c r="S200" s="68" t="n">
        <f aca="false">(G200*$N200)*(1+$S$1)</f>
        <v>0</v>
      </c>
      <c r="T200" s="55" t="str">
        <f aca="false">VLOOKUP($A200,BD_Items,20,0)</f>
        <v>na</v>
      </c>
      <c r="Y200" s="1"/>
      <c r="Z200" s="1"/>
      <c r="AA200" s="1"/>
    </row>
    <row r="201" customFormat="false" ht="12.8" hidden="false" customHeight="false" outlineLevel="0" collapsed="false">
      <c r="A201" s="45" t="s">
        <v>220</v>
      </c>
      <c r="B201" s="67" t="n">
        <v>0</v>
      </c>
      <c r="C201" s="67" t="n">
        <v>0</v>
      </c>
      <c r="D201" s="68" t="n">
        <f aca="false">VLOOKUP($A201,BD_Items,4,0)</f>
        <v>0</v>
      </c>
      <c r="E201" s="68" t="n">
        <f aca="false">VLOOKUP($A201,BD_Items,5,0)</f>
        <v>26</v>
      </c>
      <c r="F201" s="68" t="n">
        <f aca="false">VLOOKUP($A201,BD_Items,6,0)</f>
        <v>0</v>
      </c>
      <c r="G201" s="68" t="n">
        <f aca="false">VLOOKUP($A201,BD_Items,7,0)</f>
        <v>0</v>
      </c>
      <c r="H201" s="69" t="n">
        <f aca="false">VLOOKUP($A201,BD_Items,8,0)*$N201</f>
        <v>0</v>
      </c>
      <c r="I201" s="69" t="n">
        <f aca="false">VLOOKUP($A201,BD_Items,9,0)*$N201</f>
        <v>0</v>
      </c>
      <c r="J201" s="69" t="n">
        <f aca="false">VLOOKUP($A201,BD_Items,10,0)*$N201</f>
        <v>0</v>
      </c>
      <c r="K201" s="69" t="n">
        <f aca="false">VLOOKUP($A201,BD_Items,11,0)*$N201</f>
        <v>0</v>
      </c>
      <c r="L201" s="69" t="n">
        <f aca="false">VLOOKUP($A201,BD_Items,12,0)*$N201</f>
        <v>0</v>
      </c>
      <c r="M201" s="70" t="n">
        <f aca="false">VLOOKUP($A201,BD_Items,13,0)</f>
        <v>2300</v>
      </c>
      <c r="N201" s="21" t="n">
        <v>3</v>
      </c>
      <c r="O201" s="71" t="n">
        <f aca="false">M201*N201</f>
        <v>6900</v>
      </c>
      <c r="P201" s="68" t="n">
        <f aca="false">(D201*$N201)*(1+$S$1)</f>
        <v>0</v>
      </c>
      <c r="Q201" s="68" t="n">
        <f aca="false">(E201*$N201)*(1+$S$1)</f>
        <v>101.4</v>
      </c>
      <c r="R201" s="68" t="n">
        <f aca="false">(F201*$N201)*(1+$S$1)</f>
        <v>0</v>
      </c>
      <c r="S201" s="68" t="n">
        <f aca="false">(G201*$N201)*(1+$S$1)</f>
        <v>0</v>
      </c>
      <c r="T201" s="55" t="str">
        <f aca="false">VLOOKUP($A201,BD_Items,20,0)</f>
        <v>na</v>
      </c>
      <c r="Y201" s="1"/>
      <c r="Z201" s="1"/>
      <c r="AA201" s="1"/>
    </row>
    <row r="202" customFormat="false" ht="12.8" hidden="false" customHeight="false" outlineLevel="0" collapsed="false">
      <c r="A202" s="45" t="s">
        <v>198</v>
      </c>
      <c r="B202" s="67" t="n">
        <v>0</v>
      </c>
      <c r="C202" s="67" t="n">
        <v>0</v>
      </c>
      <c r="D202" s="68" t="n">
        <f aca="false">VLOOKUP($A202,BD_Items,4,0)</f>
        <v>5</v>
      </c>
      <c r="E202" s="68" t="n">
        <f aca="false">VLOOKUP($A202,BD_Items,5,0)</f>
        <v>5</v>
      </c>
      <c r="F202" s="68" t="n">
        <f aca="false">VLOOKUP($A202,BD_Items,6,0)</f>
        <v>0</v>
      </c>
      <c r="G202" s="68" t="n">
        <f aca="false">VLOOKUP($A202,BD_Items,7,0)</f>
        <v>2</v>
      </c>
      <c r="H202" s="69" t="n">
        <f aca="false">VLOOKUP($A202,BD_Items,8,0)*$N202</f>
        <v>0</v>
      </c>
      <c r="I202" s="69" t="n">
        <f aca="false">VLOOKUP($A202,BD_Items,9,0)*$N202</f>
        <v>0</v>
      </c>
      <c r="J202" s="69" t="n">
        <f aca="false">VLOOKUP($A202,BD_Items,10,0)*$N202</f>
        <v>0</v>
      </c>
      <c r="K202" s="69" t="n">
        <f aca="false">VLOOKUP($A202,BD_Items,11,0)*$N202</f>
        <v>0</v>
      </c>
      <c r="L202" s="69" t="n">
        <f aca="false">VLOOKUP($A202,BD_Items,12,0)*$N202</f>
        <v>0</v>
      </c>
      <c r="M202" s="70" t="n">
        <f aca="false">VLOOKUP($A202,BD_Items,13,0)</f>
        <v>890</v>
      </c>
      <c r="N202" s="21" t="n">
        <v>1</v>
      </c>
      <c r="O202" s="71" t="n">
        <f aca="false">M202*N202</f>
        <v>890</v>
      </c>
      <c r="P202" s="68" t="n">
        <f aca="false">(D202*$N202)*(1+$S$1)</f>
        <v>6.5</v>
      </c>
      <c r="Q202" s="68" t="n">
        <f aca="false">(E202*$N202)*(1+$S$1)</f>
        <v>6.5</v>
      </c>
      <c r="R202" s="68" t="n">
        <f aca="false">(F202*$N202)*(1+$S$1)</f>
        <v>0</v>
      </c>
      <c r="S202" s="68" t="n">
        <f aca="false">(G202*$N202)*(1+$S$1)</f>
        <v>2.6</v>
      </c>
      <c r="T202" s="55" t="str">
        <f aca="false">VLOOKUP($A202,BD_Items,20,0)</f>
        <v>na</v>
      </c>
      <c r="Y202" s="1"/>
      <c r="Z202" s="1"/>
      <c r="AA202" s="1"/>
    </row>
    <row r="203" customFormat="false" ht="12.8" hidden="false" customHeight="false" outlineLevel="0" collapsed="false">
      <c r="A203" s="45" t="s">
        <v>250</v>
      </c>
      <c r="B203" s="67" t="n">
        <v>0</v>
      </c>
      <c r="C203" s="67" t="n">
        <v>0</v>
      </c>
      <c r="D203" s="68" t="n">
        <f aca="false">VLOOKUP($A203,BD_Items,4,0)</f>
        <v>0</v>
      </c>
      <c r="E203" s="68" t="n">
        <f aca="false">VLOOKUP($A203,BD_Items,5,0)</f>
        <v>7</v>
      </c>
      <c r="F203" s="68" t="n">
        <f aca="false">VLOOKUP($A203,BD_Items,6,0)</f>
        <v>0</v>
      </c>
      <c r="G203" s="68" t="n">
        <f aca="false">VLOOKUP($A203,BD_Items,7,0)</f>
        <v>0</v>
      </c>
      <c r="H203" s="69" t="n">
        <f aca="false">VLOOKUP($A203,BD_Items,8,0)*$N203</f>
        <v>0</v>
      </c>
      <c r="I203" s="69" t="n">
        <f aca="false">VLOOKUP($A203,BD_Items,9,0)*$N203</f>
        <v>0</v>
      </c>
      <c r="J203" s="69" t="n">
        <f aca="false">VLOOKUP($A203,BD_Items,10,0)*$N203</f>
        <v>0</v>
      </c>
      <c r="K203" s="69" t="n">
        <f aca="false">VLOOKUP($A203,BD_Items,11,0)*$N203</f>
        <v>0</v>
      </c>
      <c r="L203" s="69" t="n">
        <f aca="false">VLOOKUP($A203,BD_Items,12,0)*$N203</f>
        <v>0</v>
      </c>
      <c r="M203" s="70" t="n">
        <f aca="false">VLOOKUP($A203,BD_Items,13,0)</f>
        <v>800</v>
      </c>
      <c r="N203" s="21" t="n">
        <v>1</v>
      </c>
      <c r="O203" s="71" t="n">
        <f aca="false">M203*N203</f>
        <v>800</v>
      </c>
      <c r="P203" s="68" t="n">
        <f aca="false">(D203*$N203)*(1+$S$1)</f>
        <v>0</v>
      </c>
      <c r="Q203" s="68" t="n">
        <f aca="false">(E203*$N203)*(1+$S$1)</f>
        <v>9.1</v>
      </c>
      <c r="R203" s="68" t="n">
        <f aca="false">(F203*$N203)*(1+$S$1)</f>
        <v>0</v>
      </c>
      <c r="S203" s="68" t="n">
        <f aca="false">(G203*$N203)*(1+$S$1)</f>
        <v>0</v>
      </c>
      <c r="T203" s="55" t="str">
        <f aca="false">VLOOKUP($A203,BD_Items,20,0)</f>
        <v>na</v>
      </c>
      <c r="Y203" s="1"/>
      <c r="Z203" s="1"/>
      <c r="AA203" s="1"/>
    </row>
    <row r="204" customFormat="false" ht="12.8" hidden="false" customHeight="false" outlineLevel="0" collapsed="false">
      <c r="A204" s="45" t="s">
        <v>178</v>
      </c>
      <c r="B204" s="67" t="n">
        <v>0</v>
      </c>
      <c r="C204" s="67" t="n">
        <v>0</v>
      </c>
      <c r="D204" s="68" t="n">
        <f aca="false">VLOOKUP($A204,BD_Items,4,0)</f>
        <v>15</v>
      </c>
      <c r="E204" s="68" t="n">
        <f aca="false">VLOOKUP($A204,BD_Items,5,0)</f>
        <v>0</v>
      </c>
      <c r="F204" s="68" t="n">
        <f aca="false">VLOOKUP($A204,BD_Items,6,0)</f>
        <v>15</v>
      </c>
      <c r="G204" s="68" t="n">
        <f aca="false">VLOOKUP($A204,BD_Items,7,0)</f>
        <v>15</v>
      </c>
      <c r="H204" s="69" t="n">
        <f aca="false">VLOOKUP($A204,BD_Items,8,0)*$N204</f>
        <v>0</v>
      </c>
      <c r="I204" s="69" t="n">
        <f aca="false">VLOOKUP($A204,BD_Items,9,0)*$N204</f>
        <v>0</v>
      </c>
      <c r="J204" s="69" t="n">
        <f aca="false">VLOOKUP($A204,BD_Items,10,0)*$N204</f>
        <v>0</v>
      </c>
      <c r="K204" s="69" t="n">
        <f aca="false">VLOOKUP($A204,BD_Items,11,0)*$N204</f>
        <v>0</v>
      </c>
      <c r="L204" s="69" t="n">
        <f aca="false">VLOOKUP($A204,BD_Items,12,0)*$N204</f>
        <v>0</v>
      </c>
      <c r="M204" s="70" t="n">
        <f aca="false">VLOOKUP($A204,BD_Items,13,0)</f>
        <v>2500</v>
      </c>
      <c r="N204" s="21" t="n">
        <v>2</v>
      </c>
      <c r="O204" s="71" t="n">
        <f aca="false">M204*N204</f>
        <v>5000</v>
      </c>
      <c r="P204" s="68" t="n">
        <f aca="false">(D204*$N204)*(1+$S$1)</f>
        <v>39</v>
      </c>
      <c r="Q204" s="68" t="n">
        <f aca="false">(E204*$N204)*(1+$S$1)</f>
        <v>0</v>
      </c>
      <c r="R204" s="68" t="n">
        <f aca="false">(F204*$N204)*(1+$S$1)</f>
        <v>39</v>
      </c>
      <c r="S204" s="68" t="n">
        <f aca="false">(G204*$N204)*(1+$S$1)</f>
        <v>39</v>
      </c>
      <c r="T204" s="55" t="str">
        <f aca="false">VLOOKUP($A204,BD_Items,20,0)</f>
        <v>Flaqueza X</v>
      </c>
      <c r="Y204" s="1"/>
      <c r="Z204" s="1"/>
      <c r="AA204" s="1"/>
    </row>
    <row r="205" customFormat="false" ht="12.8" hidden="false" customHeight="false" outlineLevel="0" collapsed="false">
      <c r="A205" s="52" t="s">
        <v>309</v>
      </c>
      <c r="B205" s="52"/>
      <c r="C205" s="52"/>
      <c r="D205" s="52"/>
      <c r="E205" s="52"/>
      <c r="F205" s="52"/>
      <c r="G205" s="52"/>
      <c r="H205" s="52" t="n">
        <v>33</v>
      </c>
      <c r="I205" s="52" t="n">
        <f aca="false">SUM(I196:I204)*(1+$S$1)</f>
        <v>0</v>
      </c>
      <c r="J205" s="52" t="n">
        <v>33</v>
      </c>
      <c r="K205" s="52" t="n">
        <f aca="false">SUM(K196:K204)*(1+$S$1)</f>
        <v>0</v>
      </c>
      <c r="L205" s="52" t="n">
        <f aca="false">SUM(L196:L204)*(1+$S$1)</f>
        <v>0</v>
      </c>
      <c r="M205" s="72" t="n">
        <f aca="false">M195+M197+M199</f>
        <v>58600</v>
      </c>
      <c r="N205" s="52"/>
      <c r="O205" s="72" t="n">
        <f aca="false">O195+O197+O199</f>
        <v>61090</v>
      </c>
      <c r="P205" s="73" t="n">
        <f aca="false">P199+P197+P195</f>
        <v>416</v>
      </c>
      <c r="Q205" s="73" t="n">
        <f aca="false">Q199+Q197+Q195</f>
        <v>117</v>
      </c>
      <c r="R205" s="73" t="n">
        <f aca="false">R199+R197+R195</f>
        <v>409.5</v>
      </c>
      <c r="S205" s="73" t="n">
        <f aca="false">S199+S197+S195</f>
        <v>412.1</v>
      </c>
      <c r="T205" s="59" t="n">
        <f aca="false">(P205+Q205+R205+S205)/4</f>
        <v>338.65</v>
      </c>
      <c r="Y205" s="1"/>
      <c r="Z205" s="1"/>
      <c r="AA205" s="1"/>
    </row>
    <row r="206" customFormat="false" ht="12.8" hidden="false" customHeight="false" outlineLevel="0" collapsed="false">
      <c r="Y206" s="1"/>
      <c r="Z206" s="1"/>
      <c r="AA206" s="1"/>
    </row>
    <row r="207" customFormat="false" ht="12.8" hidden="false" customHeight="false" outlineLevel="0" collapsed="false">
      <c r="Y207" s="1"/>
      <c r="Z207" s="1"/>
      <c r="AA207" s="1"/>
    </row>
    <row r="208" customFormat="false" ht="12.8" hidden="false" customHeight="false" outlineLevel="0" collapsed="false">
      <c r="Y208" s="1"/>
      <c r="Z208" s="1"/>
      <c r="AA208" s="1"/>
    </row>
    <row r="209" customFormat="false" ht="12.8" hidden="false" customHeight="false" outlineLevel="0" collapsed="false">
      <c r="A209" s="51" t="s">
        <v>329</v>
      </c>
      <c r="B209" s="52" t="s">
        <v>142</v>
      </c>
      <c r="C209" s="52" t="s">
        <v>145</v>
      </c>
      <c r="D209" s="52" t="s">
        <v>118</v>
      </c>
      <c r="E209" s="52" t="s">
        <v>160</v>
      </c>
      <c r="F209" s="52" t="s">
        <v>161</v>
      </c>
      <c r="G209" s="52" t="s">
        <v>162</v>
      </c>
      <c r="H209" s="52" t="s">
        <v>163</v>
      </c>
      <c r="I209" s="52" t="s">
        <v>164</v>
      </c>
      <c r="J209" s="52" t="s">
        <v>165</v>
      </c>
      <c r="K209" s="52" t="s">
        <v>166</v>
      </c>
      <c r="L209" s="52" t="s">
        <v>167</v>
      </c>
      <c r="M209" s="52" t="s">
        <v>119</v>
      </c>
      <c r="N209" s="52" t="s">
        <v>317</v>
      </c>
      <c r="O209" s="62" t="s">
        <v>318</v>
      </c>
      <c r="P209" s="52" t="s">
        <v>118</v>
      </c>
      <c r="Q209" s="52" t="s">
        <v>160</v>
      </c>
      <c r="R209" s="52" t="s">
        <v>306</v>
      </c>
      <c r="S209" s="52" t="s">
        <v>307</v>
      </c>
      <c r="T209" s="52" t="s">
        <v>172</v>
      </c>
      <c r="W209" s="12" t="s">
        <v>324</v>
      </c>
      <c r="Y209" s="1"/>
      <c r="Z209" s="1"/>
      <c r="AA209" s="1"/>
    </row>
    <row r="210" customFormat="false" ht="12.8" hidden="false" customHeight="false" outlineLevel="0" collapsed="false">
      <c r="A210" s="63" t="s">
        <v>334</v>
      </c>
      <c r="B210" s="6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6" t="n">
        <v>8880</v>
      </c>
      <c r="N210" s="65"/>
      <c r="O210" s="66" t="n">
        <f aca="false">SUM(O211:O211)</f>
        <v>10000</v>
      </c>
      <c r="P210" s="65" t="n">
        <f aca="false">SUM(P211:P211)</f>
        <v>78</v>
      </c>
      <c r="Q210" s="65" t="n">
        <f aca="false">SUM(Q211:Q211)</f>
        <v>0</v>
      </c>
      <c r="R210" s="65" t="n">
        <f aca="false">SUM(R211:R211)</f>
        <v>78</v>
      </c>
      <c r="S210" s="65" t="n">
        <f aca="false">SUM(S211:S211)</f>
        <v>78</v>
      </c>
      <c r="T210" s="46"/>
      <c r="Y210" s="1"/>
      <c r="Z210" s="1"/>
      <c r="AA210" s="1"/>
    </row>
    <row r="211" customFormat="false" ht="12.8" hidden="false" customHeight="false" outlineLevel="0" collapsed="false">
      <c r="A211" s="45" t="s">
        <v>178</v>
      </c>
      <c r="B211" s="67" t="n">
        <f aca="false">VLOOKUP($A211,BD_Items,2,0)</f>
        <v>0</v>
      </c>
      <c r="C211" s="67" t="n">
        <f aca="false">VLOOKUP($A211,BD_Items,3,0)</f>
        <v>0</v>
      </c>
      <c r="D211" s="68" t="n">
        <f aca="false">VLOOKUP($A211,BD_Items,4,0)</f>
        <v>15</v>
      </c>
      <c r="E211" s="68" t="n">
        <f aca="false">VLOOKUP($A211,BD_Items,5,0)</f>
        <v>0</v>
      </c>
      <c r="F211" s="68" t="n">
        <f aca="false">VLOOKUP($A211,BD_Items,6,0)</f>
        <v>15</v>
      </c>
      <c r="G211" s="68" t="n">
        <f aca="false">VLOOKUP($A211,BD_Items,7,0)</f>
        <v>15</v>
      </c>
      <c r="H211" s="69" t="n">
        <f aca="false">VLOOKUP($A211,BD_Items,8,0)*$N211</f>
        <v>0</v>
      </c>
      <c r="I211" s="69" t="n">
        <f aca="false">VLOOKUP($A211,BD_Items,9,0)*$N211</f>
        <v>0</v>
      </c>
      <c r="J211" s="69" t="n">
        <f aca="false">VLOOKUP($A211,BD_Items,10,0)*$N211</f>
        <v>0</v>
      </c>
      <c r="K211" s="69" t="n">
        <f aca="false">VLOOKUP($A211,BD_Items,11,0)*$N211</f>
        <v>0</v>
      </c>
      <c r="L211" s="69" t="n">
        <f aca="false">VLOOKUP($A211,BD_Items,12,0)*$N211</f>
        <v>0</v>
      </c>
      <c r="M211" s="70" t="n">
        <f aca="false">VLOOKUP($A211,BD_Items,13,0)</f>
        <v>2500</v>
      </c>
      <c r="N211" s="21" t="n">
        <v>4</v>
      </c>
      <c r="O211" s="71" t="n">
        <f aca="false">M211*N211</f>
        <v>10000</v>
      </c>
      <c r="P211" s="68" t="n">
        <f aca="false">(D211*$N211)*(1+$S$1)</f>
        <v>78</v>
      </c>
      <c r="Q211" s="68" t="n">
        <f aca="false">(E211*$N211)*(1+$S$1)</f>
        <v>0</v>
      </c>
      <c r="R211" s="68" t="n">
        <f aca="false">(F211*$N211)*(1+$S$1)</f>
        <v>78</v>
      </c>
      <c r="S211" s="68" t="n">
        <f aca="false">(G211*$N211)*(1+$S$1)</f>
        <v>78</v>
      </c>
      <c r="T211" s="55" t="str">
        <f aca="false">VLOOKUP($A211,BD_Items,20,0)</f>
        <v>Flaqueza X</v>
      </c>
      <c r="Y211" s="1"/>
      <c r="Z211" s="1"/>
      <c r="AA211" s="1"/>
    </row>
    <row r="212" customFormat="false" ht="12.8" hidden="false" customHeight="false" outlineLevel="0" collapsed="false">
      <c r="A212" s="63" t="s">
        <v>335</v>
      </c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6" t="n">
        <v>15285</v>
      </c>
      <c r="N212" s="65"/>
      <c r="O212" s="66" t="n">
        <f aca="false">SUM(O213:O214)</f>
        <v>16500</v>
      </c>
      <c r="P212" s="65" t="n">
        <f aca="false">SUM(P213:P214)</f>
        <v>97.5</v>
      </c>
      <c r="Q212" s="65" t="n">
        <f aca="false">SUM(Q213:Q214)</f>
        <v>65</v>
      </c>
      <c r="R212" s="65" t="n">
        <f aca="false">SUM(R213:R214)</f>
        <v>58.5</v>
      </c>
      <c r="S212" s="65" t="n">
        <f aca="false">SUM(S213:S214)</f>
        <v>123.5</v>
      </c>
      <c r="T212" s="46"/>
      <c r="Y212" s="1"/>
      <c r="Z212" s="1"/>
      <c r="AA212" s="1"/>
    </row>
    <row r="213" customFormat="false" ht="12.8" hidden="false" customHeight="false" outlineLevel="0" collapsed="false">
      <c r="A213" s="45" t="s">
        <v>184</v>
      </c>
      <c r="B213" s="67" t="n">
        <f aca="false">VLOOKUP($A213,BD_Items,2,0)</f>
        <v>0</v>
      </c>
      <c r="C213" s="67" t="n">
        <f aca="false">VLOOKUP($A213,BD_Items,3,0)</f>
        <v>0</v>
      </c>
      <c r="D213" s="68" t="n">
        <f aca="false">VLOOKUP($A213,BD_Items,4,0)</f>
        <v>3</v>
      </c>
      <c r="E213" s="68" t="n">
        <f aca="false">VLOOKUP($A213,BD_Items,5,0)</f>
        <v>5</v>
      </c>
      <c r="F213" s="68" t="n">
        <f aca="false">VLOOKUP($A213,BD_Items,6,0)</f>
        <v>0</v>
      </c>
      <c r="G213" s="68" t="n">
        <f aca="false">VLOOKUP($A213,BD_Items,7,0)</f>
        <v>5</v>
      </c>
      <c r="H213" s="69" t="n">
        <f aca="false">VLOOKUP($A213,BD_Items,8,0)*$N213</f>
        <v>0</v>
      </c>
      <c r="I213" s="69" t="n">
        <f aca="false">VLOOKUP($A213,BD_Items,9,0)*$N213</f>
        <v>0</v>
      </c>
      <c r="J213" s="69" t="n">
        <f aca="false">VLOOKUP($A213,BD_Items,10,0)*$N213</f>
        <v>0</v>
      </c>
      <c r="K213" s="69" t="n">
        <f aca="false">VLOOKUP($A213,BD_Items,11,0)*$N213</f>
        <v>0</v>
      </c>
      <c r="L213" s="69" t="n">
        <f aca="false">VLOOKUP($A213,BD_Items,12,0)*$N213</f>
        <v>0</v>
      </c>
      <c r="M213" s="70" t="n">
        <f aca="false">VLOOKUP($A213,BD_Items,13,0)</f>
        <v>900</v>
      </c>
      <c r="N213" s="21" t="n">
        <v>10</v>
      </c>
      <c r="O213" s="71" t="n">
        <f aca="false">M213*N213</f>
        <v>9000</v>
      </c>
      <c r="P213" s="68" t="n">
        <f aca="false">(D213*$N213)*(1+$S$1)</f>
        <v>39</v>
      </c>
      <c r="Q213" s="68" t="n">
        <f aca="false">(E213*$N213)*(1+$S$1)</f>
        <v>65</v>
      </c>
      <c r="R213" s="68" t="n">
        <f aca="false">(F213*$N213)*(1+$S$1)</f>
        <v>0</v>
      </c>
      <c r="S213" s="68" t="n">
        <f aca="false">(G213*$N213)*(1+$S$1)</f>
        <v>65</v>
      </c>
      <c r="T213" s="55" t="str">
        <f aca="false">VLOOKUP($A213,BD_Items,20,0)</f>
        <v>Paso Lateral</v>
      </c>
      <c r="Y213" s="1"/>
      <c r="Z213" s="1"/>
      <c r="AA213" s="1"/>
    </row>
    <row r="214" customFormat="false" ht="12.8" hidden="false" customHeight="false" outlineLevel="0" collapsed="false">
      <c r="A214" s="45" t="s">
        <v>178</v>
      </c>
      <c r="B214" s="67" t="n">
        <v>0</v>
      </c>
      <c r="C214" s="67" t="n">
        <v>0</v>
      </c>
      <c r="D214" s="68" t="n">
        <f aca="false">VLOOKUP($A214,BD_Items,4,0)</f>
        <v>15</v>
      </c>
      <c r="E214" s="68" t="n">
        <f aca="false">VLOOKUP($A214,BD_Items,5,0)</f>
        <v>0</v>
      </c>
      <c r="F214" s="68" t="n">
        <f aca="false">VLOOKUP($A214,BD_Items,6,0)</f>
        <v>15</v>
      </c>
      <c r="G214" s="68" t="n">
        <f aca="false">VLOOKUP($A214,BD_Items,7,0)</f>
        <v>15</v>
      </c>
      <c r="H214" s="69" t="n">
        <f aca="false">VLOOKUP($A214,BD_Items,8,0)*$N214</f>
        <v>0</v>
      </c>
      <c r="I214" s="69" t="n">
        <f aca="false">VLOOKUP($A214,BD_Items,9,0)*$N214</f>
        <v>0</v>
      </c>
      <c r="J214" s="69" t="n">
        <f aca="false">VLOOKUP($A214,BD_Items,10,0)*$N214</f>
        <v>0</v>
      </c>
      <c r="K214" s="69" t="n">
        <f aca="false">VLOOKUP($A214,BD_Items,11,0)*$N214</f>
        <v>0</v>
      </c>
      <c r="L214" s="69" t="n">
        <f aca="false">VLOOKUP($A214,BD_Items,12,0)*$N214</f>
        <v>0</v>
      </c>
      <c r="M214" s="70" t="n">
        <f aca="false">VLOOKUP($A214,BD_Items,13,0)</f>
        <v>2500</v>
      </c>
      <c r="N214" s="21" t="n">
        <v>3</v>
      </c>
      <c r="O214" s="71" t="n">
        <f aca="false">M214*N214</f>
        <v>7500</v>
      </c>
      <c r="P214" s="68" t="n">
        <f aca="false">(D214*$N214)*(1+$S$1)</f>
        <v>58.5</v>
      </c>
      <c r="Q214" s="68" t="n">
        <f aca="false">(E214*$N214)*(1+$S$1)</f>
        <v>0</v>
      </c>
      <c r="R214" s="68" t="n">
        <f aca="false">(F214*$N214)*(1+$S$1)</f>
        <v>58.5</v>
      </c>
      <c r="S214" s="68" t="n">
        <f aca="false">(G214*$N214)*(1+$S$1)</f>
        <v>58.5</v>
      </c>
      <c r="T214" s="55" t="str">
        <f aca="false">VLOOKUP($A214,BD_Items,20,0)</f>
        <v>Flaqueza X</v>
      </c>
      <c r="Y214" s="1"/>
      <c r="Z214" s="1"/>
      <c r="AA214" s="1"/>
    </row>
    <row r="215" customFormat="false" ht="12.8" hidden="false" customHeight="false" outlineLevel="0" collapsed="false">
      <c r="A215" s="63" t="s">
        <v>336</v>
      </c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6" t="n">
        <v>22150</v>
      </c>
      <c r="N215" s="65"/>
      <c r="O215" s="66" t="n">
        <f aca="false">SUM(O216:O216)</f>
        <v>20000</v>
      </c>
      <c r="P215" s="65" t="n">
        <f aca="false">SUM(P216:P216)</f>
        <v>156</v>
      </c>
      <c r="Q215" s="65" t="n">
        <f aca="false">SUM(Q216:Q216)</f>
        <v>0</v>
      </c>
      <c r="R215" s="65" t="n">
        <f aca="false">SUM(R216:R216)</f>
        <v>156</v>
      </c>
      <c r="S215" s="65" t="n">
        <f aca="false">SUM(S216:S216)</f>
        <v>156</v>
      </c>
      <c r="T215" s="46"/>
      <c r="Y215" s="1"/>
      <c r="Z215" s="1"/>
      <c r="AA215" s="1"/>
    </row>
    <row r="216" customFormat="false" ht="12.8" hidden="false" customHeight="false" outlineLevel="0" collapsed="false">
      <c r="A216" s="30" t="s">
        <v>178</v>
      </c>
      <c r="B216" s="67" t="n">
        <f aca="false">VLOOKUP($A216,BD_Items,2,0)</f>
        <v>0</v>
      </c>
      <c r="C216" s="67" t="n">
        <f aca="false">VLOOKUP($A216,BD_Items,3,0)</f>
        <v>0</v>
      </c>
      <c r="D216" s="68" t="n">
        <f aca="false">VLOOKUP($A216,BD_Items,4,0)</f>
        <v>15</v>
      </c>
      <c r="E216" s="68" t="n">
        <f aca="false">VLOOKUP($A216,BD_Items,5,0)</f>
        <v>0</v>
      </c>
      <c r="F216" s="68" t="n">
        <f aca="false">VLOOKUP($A216,BD_Items,6,0)</f>
        <v>15</v>
      </c>
      <c r="G216" s="68" t="n">
        <f aca="false">VLOOKUP($A216,BD_Items,7,0)</f>
        <v>15</v>
      </c>
      <c r="H216" s="69" t="n">
        <f aca="false">VLOOKUP($A216,BD_Items,8,0)*$N216</f>
        <v>0</v>
      </c>
      <c r="I216" s="69" t="n">
        <f aca="false">VLOOKUP($A216,BD_Items,9,0)*$N216</f>
        <v>0</v>
      </c>
      <c r="J216" s="69" t="n">
        <f aca="false">VLOOKUP($A216,BD_Items,10,0)*$N216</f>
        <v>0</v>
      </c>
      <c r="K216" s="69" t="n">
        <f aca="false">VLOOKUP($A216,BD_Items,11,0)*$N216</f>
        <v>0</v>
      </c>
      <c r="L216" s="69" t="n">
        <f aca="false">VLOOKUP($A216,BD_Items,12,0)*$N216</f>
        <v>0</v>
      </c>
      <c r="M216" s="70" t="n">
        <f aca="false">VLOOKUP($A216,BD_Items,13,0)</f>
        <v>2500</v>
      </c>
      <c r="N216" s="21" t="n">
        <v>8</v>
      </c>
      <c r="O216" s="71" t="n">
        <f aca="false">M216*N216</f>
        <v>20000</v>
      </c>
      <c r="P216" s="68" t="n">
        <f aca="false">(D216*$N216)*(1+$S$1)</f>
        <v>156</v>
      </c>
      <c r="Q216" s="68" t="n">
        <f aca="false">(E216*$N216)*(1+$S$1)</f>
        <v>0</v>
      </c>
      <c r="R216" s="68" t="n">
        <f aca="false">(F216*$N216)*(1+$S$1)</f>
        <v>156</v>
      </c>
      <c r="S216" s="68" t="n">
        <f aca="false">(G216*$N216)*(1+$S$1)</f>
        <v>156</v>
      </c>
      <c r="T216" s="55" t="str">
        <f aca="false">VLOOKUP($A216,BD_Items,20,0)</f>
        <v>Flaqueza X</v>
      </c>
      <c r="Y216" s="1"/>
      <c r="Z216" s="1"/>
      <c r="AA216" s="1"/>
    </row>
    <row r="217" customFormat="false" ht="12.8" hidden="false" customHeight="false" outlineLevel="0" collapsed="false">
      <c r="A217" s="63" t="s">
        <v>337</v>
      </c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6" t="n">
        <v>12285</v>
      </c>
      <c r="N217" s="65"/>
      <c r="O217" s="66" t="n">
        <f aca="false">SUM(O219:O222)</f>
        <v>14990</v>
      </c>
      <c r="P217" s="65" t="n">
        <f aca="false">SUM(P219:P222)</f>
        <v>91</v>
      </c>
      <c r="Q217" s="65" t="n">
        <f aca="false">SUM(Q219:Q222)</f>
        <v>6.5</v>
      </c>
      <c r="R217" s="65" t="n">
        <f aca="false">SUM(R219:R222)</f>
        <v>118.3</v>
      </c>
      <c r="S217" s="65" t="n">
        <f aca="false">SUM(S219:S222)</f>
        <v>89.7</v>
      </c>
      <c r="T217" s="46"/>
      <c r="Y217" s="1"/>
      <c r="Z217" s="1"/>
      <c r="AA217" s="1"/>
    </row>
    <row r="218" customFormat="false" ht="12.8" hidden="false" customHeight="false" outlineLevel="0" collapsed="false">
      <c r="A218" s="30" t="s">
        <v>304</v>
      </c>
      <c r="B218" s="67" t="n">
        <f aca="false">VLOOKUP($A218,BD_Items,2,0)</f>
        <v>0</v>
      </c>
      <c r="C218" s="67" t="n">
        <f aca="false">VLOOKUP($A218,BD_Items,3,0)</f>
        <v>0</v>
      </c>
      <c r="D218" s="68" t="n">
        <f aca="false">VLOOKUP($A218,BD_Items,4,0)</f>
        <v>0</v>
      </c>
      <c r="E218" s="68" t="n">
        <f aca="false">VLOOKUP($A218,BD_Items,5,0)</f>
        <v>0</v>
      </c>
      <c r="F218" s="68" t="n">
        <f aca="false">VLOOKUP($A218,BD_Items,6,0)</f>
        <v>0</v>
      </c>
      <c r="G218" s="68" t="n">
        <f aca="false">VLOOKUP($A218,BD_Items,7,0)</f>
        <v>0</v>
      </c>
      <c r="H218" s="69" t="n">
        <f aca="false">VLOOKUP($A218,BD_Items,8,0)*$N218</f>
        <v>0</v>
      </c>
      <c r="I218" s="69" t="n">
        <f aca="false">VLOOKUP($A218,BD_Items,9,0)*$N218</f>
        <v>0</v>
      </c>
      <c r="J218" s="69" t="n">
        <f aca="false">VLOOKUP($A218,BD_Items,10,0)*$N218</f>
        <v>0</v>
      </c>
      <c r="K218" s="69" t="n">
        <f aca="false">VLOOKUP($A218,BD_Items,11,0)*$N218</f>
        <v>0</v>
      </c>
      <c r="L218" s="69" t="n">
        <f aca="false">VLOOKUP($A218,BD_Items,12,0)*$N218</f>
        <v>0</v>
      </c>
      <c r="M218" s="70" t="n">
        <f aca="false">VLOOKUP($A218,BD_Items,13,0)</f>
        <v>0</v>
      </c>
      <c r="N218" s="21" t="n">
        <v>2</v>
      </c>
      <c r="O218" s="71" t="n">
        <f aca="false">M218*N218</f>
        <v>0</v>
      </c>
      <c r="P218" s="68" t="n">
        <f aca="false">(D218*$N218)*(1+$S$1)</f>
        <v>0</v>
      </c>
      <c r="Q218" s="68" t="n">
        <f aca="false">(E218*$N218)*(1+$S$1)</f>
        <v>0</v>
      </c>
      <c r="R218" s="68" t="n">
        <f aca="false">(F218*$N218)*(1+$S$1)</f>
        <v>0</v>
      </c>
      <c r="S218" s="68" t="n">
        <f aca="false">(G218*$N218)*(1+$S$1)</f>
        <v>0</v>
      </c>
      <c r="T218" s="55" t="str">
        <f aca="false">VLOOKUP($A218,BD_Items,20,0)</f>
        <v>na</v>
      </c>
      <c r="Y218" s="1"/>
      <c r="Z218" s="1"/>
      <c r="AA218" s="1"/>
    </row>
    <row r="219" customFormat="false" ht="12.8" hidden="false" customHeight="false" outlineLevel="0" collapsed="false">
      <c r="A219" s="30" t="s">
        <v>178</v>
      </c>
      <c r="B219" s="67" t="n">
        <f aca="false">VLOOKUP($A219,BD_Items,2,0)</f>
        <v>0</v>
      </c>
      <c r="C219" s="67" t="n">
        <f aca="false">VLOOKUP($A219,BD_Items,3,0)</f>
        <v>0</v>
      </c>
      <c r="D219" s="68" t="n">
        <f aca="false">VLOOKUP($A219,BD_Items,4,0)</f>
        <v>15</v>
      </c>
      <c r="E219" s="68" t="n">
        <f aca="false">VLOOKUP($A219,BD_Items,5,0)</f>
        <v>0</v>
      </c>
      <c r="F219" s="68" t="n">
        <f aca="false">VLOOKUP($A219,BD_Items,6,0)</f>
        <v>15</v>
      </c>
      <c r="G219" s="68" t="n">
        <f aca="false">VLOOKUP($A219,BD_Items,7,0)</f>
        <v>15</v>
      </c>
      <c r="H219" s="69" t="n">
        <f aca="false">VLOOKUP($A219,BD_Items,8,0)*$N219</f>
        <v>0</v>
      </c>
      <c r="I219" s="69" t="n">
        <f aca="false">VLOOKUP($A219,BD_Items,9,0)*$N219</f>
        <v>0</v>
      </c>
      <c r="J219" s="69" t="n">
        <f aca="false">VLOOKUP($A219,BD_Items,10,0)*$N219</f>
        <v>0</v>
      </c>
      <c r="K219" s="69" t="n">
        <f aca="false">VLOOKUP($A219,BD_Items,11,0)*$N219</f>
        <v>0</v>
      </c>
      <c r="L219" s="69" t="n">
        <f aca="false">VLOOKUP($A219,BD_Items,12,0)*$N219</f>
        <v>0</v>
      </c>
      <c r="M219" s="70" t="n">
        <f aca="false">VLOOKUP($A219,BD_Items,13,0)</f>
        <v>2500</v>
      </c>
      <c r="N219" s="21" t="n">
        <v>4</v>
      </c>
      <c r="O219" s="71" t="n">
        <f aca="false">M219*N219</f>
        <v>10000</v>
      </c>
      <c r="P219" s="68" t="n">
        <f aca="false">(D219*$N219)*(1+$S$1)</f>
        <v>78</v>
      </c>
      <c r="Q219" s="68" t="n">
        <f aca="false">(E219*$N219)*(1+$S$1)</f>
        <v>0</v>
      </c>
      <c r="R219" s="68" t="n">
        <f aca="false">(F219*$N219)*(1+$S$1)</f>
        <v>78</v>
      </c>
      <c r="S219" s="68" t="n">
        <f aca="false">(G219*$N219)*(1+$S$1)</f>
        <v>78</v>
      </c>
      <c r="T219" s="55" t="str">
        <f aca="false">VLOOKUP($A219,BD_Items,20,0)</f>
        <v>Flaqueza X</v>
      </c>
      <c r="Y219" s="1"/>
      <c r="Z219" s="1"/>
      <c r="AA219" s="1"/>
    </row>
    <row r="220" customFormat="false" ht="12.8" hidden="false" customHeight="false" outlineLevel="0" collapsed="false">
      <c r="A220" s="45" t="s">
        <v>181</v>
      </c>
      <c r="B220" s="67" t="n">
        <v>0</v>
      </c>
      <c r="C220" s="67" t="n">
        <v>0</v>
      </c>
      <c r="D220" s="68" t="n">
        <f aca="false">VLOOKUP($A220,BD_Items,4,0)</f>
        <v>5</v>
      </c>
      <c r="E220" s="68" t="n">
        <f aca="false">VLOOKUP($A220,BD_Items,5,0)</f>
        <v>0</v>
      </c>
      <c r="F220" s="68" t="n">
        <f aca="false">VLOOKUP($A220,BD_Items,6,0)</f>
        <v>7</v>
      </c>
      <c r="G220" s="68" t="n">
        <f aca="false">VLOOKUP($A220,BD_Items,7,0)</f>
        <v>7</v>
      </c>
      <c r="H220" s="69" t="n">
        <f aca="false">VLOOKUP($A220,BD_Items,8,0)*$N220</f>
        <v>0</v>
      </c>
      <c r="I220" s="69" t="n">
        <f aca="false">VLOOKUP($A220,BD_Items,9,0)*$N220</f>
        <v>0</v>
      </c>
      <c r="J220" s="69" t="n">
        <f aca="false">VLOOKUP($A220,BD_Items,10,0)*$N220</f>
        <v>0</v>
      </c>
      <c r="K220" s="69" t="n">
        <f aca="false">VLOOKUP($A220,BD_Items,11,0)*$N220</f>
        <v>0</v>
      </c>
      <c r="L220" s="69" t="n">
        <f aca="false">VLOOKUP($A220,BD_Items,12,0)*$N220</f>
        <v>0</v>
      </c>
      <c r="M220" s="70" t="n">
        <f aca="false">VLOOKUP($A220,BD_Items,13,0)</f>
        <v>1200</v>
      </c>
      <c r="N220" s="21" t="n">
        <v>1</v>
      </c>
      <c r="O220" s="71" t="n">
        <f aca="false">M220*N220</f>
        <v>1200</v>
      </c>
      <c r="P220" s="68" t="n">
        <f aca="false">(D220*$N220)*(1+$S$1)</f>
        <v>6.5</v>
      </c>
      <c r="Q220" s="68" t="n">
        <f aca="false">(E220*$N220)*(1+$S$1)</f>
        <v>0</v>
      </c>
      <c r="R220" s="68" t="n">
        <f aca="false">(F220*$N220)*(1+$S$1)</f>
        <v>9.1</v>
      </c>
      <c r="S220" s="68" t="n">
        <f aca="false">(G220*$N220)*(1+$S$1)</f>
        <v>9.1</v>
      </c>
      <c r="T220" s="55" t="str">
        <f aca="false">VLOOKUP($A220,BD_Items,20,0)</f>
        <v>Potenciador de Trachyon II</v>
      </c>
      <c r="Y220" s="1"/>
      <c r="Z220" s="1"/>
      <c r="AA220" s="1"/>
    </row>
    <row r="221" customFormat="false" ht="12.8" hidden="false" customHeight="false" outlineLevel="0" collapsed="false">
      <c r="A221" s="45" t="s">
        <v>198</v>
      </c>
      <c r="B221" s="67" t="n">
        <v>0</v>
      </c>
      <c r="C221" s="67" t="n">
        <v>0</v>
      </c>
      <c r="D221" s="68" t="n">
        <f aca="false">VLOOKUP($A221,BD_Items,4,0)</f>
        <v>5</v>
      </c>
      <c r="E221" s="68" t="n">
        <f aca="false">VLOOKUP($A221,BD_Items,5,0)</f>
        <v>5</v>
      </c>
      <c r="F221" s="68" t="n">
        <f aca="false">VLOOKUP($A221,BD_Items,6,0)</f>
        <v>0</v>
      </c>
      <c r="G221" s="68" t="n">
        <f aca="false">VLOOKUP($A221,BD_Items,7,0)</f>
        <v>2</v>
      </c>
      <c r="H221" s="69" t="n">
        <f aca="false">VLOOKUP($A221,BD_Items,8,0)*$N221</f>
        <v>0</v>
      </c>
      <c r="I221" s="69" t="n">
        <f aca="false">VLOOKUP($A221,BD_Items,9,0)*$N221</f>
        <v>0</v>
      </c>
      <c r="J221" s="69" t="n">
        <f aca="false">VLOOKUP($A221,BD_Items,10,0)*$N221</f>
        <v>0</v>
      </c>
      <c r="K221" s="69" t="n">
        <f aca="false">VLOOKUP($A221,BD_Items,11,0)*$N221</f>
        <v>0</v>
      </c>
      <c r="L221" s="69" t="n">
        <f aca="false">VLOOKUP($A221,BD_Items,12,0)*$N221</f>
        <v>0</v>
      </c>
      <c r="M221" s="70" t="n">
        <f aca="false">VLOOKUP($A221,BD_Items,13,0)</f>
        <v>890</v>
      </c>
      <c r="N221" s="21" t="n">
        <v>1</v>
      </c>
      <c r="O221" s="71" t="n">
        <f aca="false">M221*N221</f>
        <v>890</v>
      </c>
      <c r="P221" s="68" t="n">
        <f aca="false">(D221*$N221)*(1+$S$1)</f>
        <v>6.5</v>
      </c>
      <c r="Q221" s="68" t="n">
        <f aca="false">(E221*$N221)*(1+$S$1)</f>
        <v>6.5</v>
      </c>
      <c r="R221" s="68" t="n">
        <f aca="false">(F221*$N221)*(1+$S$1)</f>
        <v>0</v>
      </c>
      <c r="S221" s="68" t="n">
        <f aca="false">(G221*$N221)*(1+$S$1)</f>
        <v>2.6</v>
      </c>
      <c r="T221" s="55" t="str">
        <f aca="false">VLOOKUP($A221,BD_Items,20,0)</f>
        <v>na</v>
      </c>
      <c r="Y221" s="1"/>
      <c r="Z221" s="1"/>
      <c r="AA221" s="1"/>
    </row>
    <row r="222" customFormat="false" ht="12.8" hidden="false" customHeight="false" outlineLevel="0" collapsed="false">
      <c r="A222" s="45" t="s">
        <v>259</v>
      </c>
      <c r="B222" s="67" t="n">
        <v>0</v>
      </c>
      <c r="C222" s="67" t="n">
        <v>0</v>
      </c>
      <c r="D222" s="68" t="n">
        <f aca="false">VLOOKUP($A222,BD_Items,4,0)</f>
        <v>0</v>
      </c>
      <c r="E222" s="68" t="n">
        <f aca="false">VLOOKUP($A222,BD_Items,5,0)</f>
        <v>0</v>
      </c>
      <c r="F222" s="68" t="n">
        <f aca="false">VLOOKUP($A222,BD_Items,6,0)</f>
        <v>24</v>
      </c>
      <c r="G222" s="68" t="n">
        <f aca="false">VLOOKUP($A222,BD_Items,7,0)</f>
        <v>0</v>
      </c>
      <c r="H222" s="69" t="n">
        <f aca="false">VLOOKUP($A222,BD_Items,8,0)*$N222</f>
        <v>0</v>
      </c>
      <c r="I222" s="69" t="n">
        <f aca="false">VLOOKUP($A222,BD_Items,9,0)*$N222</f>
        <v>16</v>
      </c>
      <c r="J222" s="69" t="n">
        <f aca="false">VLOOKUP($A222,BD_Items,10,0)*$N222</f>
        <v>0</v>
      </c>
      <c r="K222" s="69" t="n">
        <f aca="false">VLOOKUP($A222,BD_Items,11,0)*$N222</f>
        <v>0</v>
      </c>
      <c r="L222" s="69" t="n">
        <f aca="false">VLOOKUP($A222,BD_Items,12,0)*$N222</f>
        <v>0</v>
      </c>
      <c r="M222" s="70" t="n">
        <f aca="false">VLOOKUP($A222,BD_Items,13,0)</f>
        <v>2900</v>
      </c>
      <c r="N222" s="21" t="n">
        <v>1</v>
      </c>
      <c r="O222" s="71" t="n">
        <f aca="false">M222*N222</f>
        <v>2900</v>
      </c>
      <c r="P222" s="68" t="n">
        <f aca="false">(D222*$N222)*(1+$S$1)</f>
        <v>0</v>
      </c>
      <c r="Q222" s="68" t="n">
        <f aca="false">(E222*$N222)*(1+$S$1)</f>
        <v>0</v>
      </c>
      <c r="R222" s="68" t="n">
        <f aca="false">(F222*$N222)*(1+$S$1)</f>
        <v>31.2</v>
      </c>
      <c r="S222" s="68" t="n">
        <f aca="false">(G222*$N222)*(1+$S$1)</f>
        <v>0</v>
      </c>
      <c r="T222" s="74" t="str">
        <f aca="false">VLOOKUP($A222,BD_Items,20,0)</f>
        <v>Hielo++</v>
      </c>
      <c r="Y222" s="1"/>
      <c r="Z222" s="1"/>
      <c r="AA222" s="1"/>
    </row>
    <row r="223" customFormat="false" ht="12.8" hidden="false" customHeight="false" outlineLevel="0" collapsed="false">
      <c r="A223" s="52" t="s">
        <v>308</v>
      </c>
      <c r="B223" s="52"/>
      <c r="C223" s="52"/>
      <c r="D223" s="52"/>
      <c r="E223" s="52"/>
      <c r="F223" s="52"/>
      <c r="G223" s="52"/>
      <c r="H223" s="52" t="n">
        <f aca="false">SUM(H211:H222)*(1+$S$1)</f>
        <v>0</v>
      </c>
      <c r="I223" s="52" t="n">
        <f aca="false">SUM(I211:I222)*(1+$S$1)</f>
        <v>20.8</v>
      </c>
      <c r="J223" s="52" t="n">
        <f aca="false">SUM(J211:J222)*(1+$S$1)</f>
        <v>0</v>
      </c>
      <c r="K223" s="52" t="n">
        <f aca="false">SUM(K211:K222)*(1+$S$1)</f>
        <v>0</v>
      </c>
      <c r="L223" s="52" t="n">
        <f aca="false">SUM(L211:L222)*(1+$S$1)</f>
        <v>0</v>
      </c>
      <c r="M223" s="72" t="n">
        <f aca="false">M210+M212+M215+M217</f>
        <v>58600</v>
      </c>
      <c r="N223" s="52"/>
      <c r="O223" s="72" t="n">
        <f aca="false">O210+O212+O215+O217</f>
        <v>61490</v>
      </c>
      <c r="P223" s="73" t="n">
        <f aca="false">P210+P212+P215+P217</f>
        <v>422.5</v>
      </c>
      <c r="Q223" s="73" t="n">
        <f aca="false">Q210+Q212+Q215+Q217</f>
        <v>71.5</v>
      </c>
      <c r="R223" s="73" t="n">
        <f aca="false">R210+R212+R215+R217</f>
        <v>410.8</v>
      </c>
      <c r="S223" s="73" t="n">
        <f aca="false">S210+S212+S215+S217</f>
        <v>447.2</v>
      </c>
      <c r="T223" s="59" t="n">
        <f aca="false">(P223+Q223+R223+S223)/4</f>
        <v>338</v>
      </c>
      <c r="Y223" s="1"/>
      <c r="Z223" s="1"/>
      <c r="AA223" s="1"/>
    </row>
    <row r="224" customFormat="false" ht="12.8" hidden="false" customHeight="false" outlineLevel="0" collapsed="false">
      <c r="Y224" s="1"/>
      <c r="Z224" s="1"/>
      <c r="AA224" s="1"/>
    </row>
    <row r="225" customFormat="false" ht="12.8" hidden="false" customHeight="false" outlineLevel="0" collapsed="false">
      <c r="Y225" s="1"/>
      <c r="Z225" s="1"/>
      <c r="AA225" s="1"/>
    </row>
    <row r="226" customFormat="false" ht="12.8" hidden="false" customHeight="false" outlineLevel="0" collapsed="false">
      <c r="Y226" s="1"/>
      <c r="Z226" s="1"/>
      <c r="AA226" s="1"/>
    </row>
    <row r="227" customFormat="false" ht="12.8" hidden="false" customHeight="false" outlineLevel="0" collapsed="false">
      <c r="A227" s="51" t="s">
        <v>323</v>
      </c>
      <c r="B227" s="52" t="s">
        <v>142</v>
      </c>
      <c r="C227" s="52" t="s">
        <v>145</v>
      </c>
      <c r="D227" s="52" t="s">
        <v>118</v>
      </c>
      <c r="E227" s="52" t="s">
        <v>160</v>
      </c>
      <c r="F227" s="52" t="s">
        <v>161</v>
      </c>
      <c r="G227" s="52" t="s">
        <v>162</v>
      </c>
      <c r="H227" s="52" t="s">
        <v>163</v>
      </c>
      <c r="I227" s="52" t="s">
        <v>164</v>
      </c>
      <c r="J227" s="52" t="s">
        <v>165</v>
      </c>
      <c r="K227" s="52" t="s">
        <v>166</v>
      </c>
      <c r="L227" s="52" t="s">
        <v>167</v>
      </c>
      <c r="M227" s="52" t="s">
        <v>119</v>
      </c>
      <c r="N227" s="52" t="s">
        <v>317</v>
      </c>
      <c r="O227" s="62" t="s">
        <v>318</v>
      </c>
      <c r="P227" s="52" t="s">
        <v>118</v>
      </c>
      <c r="Q227" s="52" t="s">
        <v>160</v>
      </c>
      <c r="R227" s="52" t="s">
        <v>306</v>
      </c>
      <c r="S227" s="52" t="s">
        <v>307</v>
      </c>
      <c r="T227" s="52" t="s">
        <v>172</v>
      </c>
      <c r="W227" s="12" t="s">
        <v>324</v>
      </c>
      <c r="Y227" s="1"/>
      <c r="Z227" s="1"/>
      <c r="AA227" s="1"/>
    </row>
    <row r="228" customFormat="false" ht="12.8" hidden="false" customHeight="false" outlineLevel="0" collapsed="false">
      <c r="A228" s="63" t="s">
        <v>334</v>
      </c>
      <c r="B228" s="6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6" t="n">
        <v>8880</v>
      </c>
      <c r="N228" s="65"/>
      <c r="O228" s="66" t="n">
        <f aca="false">SUM(O229:O230)</f>
        <v>9300</v>
      </c>
      <c r="P228" s="65" t="n">
        <f aca="false">SUM(P229:P230)</f>
        <v>70.2</v>
      </c>
      <c r="Q228" s="65" t="n">
        <f aca="false">SUM(Q229:Q230)</f>
        <v>39</v>
      </c>
      <c r="R228" s="65" t="n">
        <f aca="false">SUM(R229:R230)</f>
        <v>0</v>
      </c>
      <c r="S228" s="65" t="n">
        <f aca="false">SUM(S229:S230)</f>
        <v>46.8</v>
      </c>
      <c r="T228" s="46"/>
      <c r="Y228" s="1"/>
      <c r="Z228" s="1"/>
      <c r="AA228" s="1"/>
    </row>
    <row r="229" customFormat="false" ht="12.8" hidden="false" customHeight="false" outlineLevel="0" collapsed="false">
      <c r="A229" s="30" t="s">
        <v>208</v>
      </c>
      <c r="B229" s="67" t="n">
        <f aca="false">VLOOKUP($A229,BD_Items,2,0)</f>
        <v>0</v>
      </c>
      <c r="C229" s="67" t="n">
        <f aca="false">VLOOKUP($A229,BD_Items,3,0)</f>
        <v>0</v>
      </c>
      <c r="D229" s="68" t="n">
        <f aca="false">VLOOKUP($A229,BD_Items,4,0)</f>
        <v>4</v>
      </c>
      <c r="E229" s="68" t="n">
        <f aca="false">VLOOKUP($A229,BD_Items,5,0)</f>
        <v>0</v>
      </c>
      <c r="F229" s="68" t="n">
        <f aca="false">VLOOKUP($A229,BD_Items,6,0)</f>
        <v>0</v>
      </c>
      <c r="G229" s="68" t="n">
        <f aca="false">VLOOKUP($A229,BD_Items,7,0)</f>
        <v>4</v>
      </c>
      <c r="H229" s="69" t="n">
        <f aca="false">VLOOKUP($A229,BD_Items,8,0)*$N229</f>
        <v>0</v>
      </c>
      <c r="I229" s="69" t="n">
        <f aca="false">VLOOKUP($A229,BD_Items,9,0)*$N229</f>
        <v>0</v>
      </c>
      <c r="J229" s="69" t="n">
        <f aca="false">VLOOKUP($A229,BD_Items,10,0)*$N229</f>
        <v>0</v>
      </c>
      <c r="K229" s="69" t="n">
        <f aca="false">VLOOKUP($A229,BD_Items,11,0)*$N229</f>
        <v>0</v>
      </c>
      <c r="L229" s="69" t="n">
        <f aca="false">VLOOKUP($A229,BD_Items,12,0)*$N229</f>
        <v>0</v>
      </c>
      <c r="M229" s="70" t="n">
        <f aca="false">VLOOKUP($A229,BD_Items,13,0)</f>
        <v>660</v>
      </c>
      <c r="N229" s="21" t="n">
        <v>6</v>
      </c>
      <c r="O229" s="71" t="n">
        <f aca="false">M229*N229</f>
        <v>3960</v>
      </c>
      <c r="P229" s="68" t="n">
        <f aca="false">(D229*$N229)*(1+$S$1)</f>
        <v>31.2</v>
      </c>
      <c r="Q229" s="68" t="n">
        <f aca="false">(E229*$N229)*(1+$S$1)</f>
        <v>0</v>
      </c>
      <c r="R229" s="68" t="n">
        <f aca="false">(F229*$N229)*(1+$S$1)</f>
        <v>0</v>
      </c>
      <c r="S229" s="68" t="n">
        <f aca="false">(G229*$N229)*(1+$S$1)</f>
        <v>31.2</v>
      </c>
      <c r="T229" s="55" t="str">
        <f aca="false">VLOOKUP($A229,BD_Items,20,0)</f>
        <v>Supremacía Aérea X</v>
      </c>
      <c r="Y229" s="1"/>
      <c r="Z229" s="1"/>
      <c r="AA229" s="1"/>
    </row>
    <row r="230" customFormat="false" ht="12.8" hidden="false" customHeight="false" outlineLevel="0" collapsed="false">
      <c r="A230" s="45" t="s">
        <v>198</v>
      </c>
      <c r="B230" s="67" t="n">
        <v>0</v>
      </c>
      <c r="C230" s="67" t="n">
        <v>0</v>
      </c>
      <c r="D230" s="68" t="n">
        <f aca="false">VLOOKUP($A230,BD_Items,4,0)</f>
        <v>5</v>
      </c>
      <c r="E230" s="68" t="n">
        <f aca="false">VLOOKUP($A230,BD_Items,5,0)</f>
        <v>5</v>
      </c>
      <c r="F230" s="68" t="n">
        <f aca="false">VLOOKUP($A230,BD_Items,6,0)</f>
        <v>0</v>
      </c>
      <c r="G230" s="68" t="n">
        <f aca="false">VLOOKUP($A230,BD_Items,7,0)</f>
        <v>2</v>
      </c>
      <c r="H230" s="69" t="n">
        <f aca="false">VLOOKUP($A230,BD_Items,8,0)*$N230</f>
        <v>0</v>
      </c>
      <c r="I230" s="69" t="n">
        <f aca="false">VLOOKUP($A230,BD_Items,9,0)*$N230</f>
        <v>0</v>
      </c>
      <c r="J230" s="69" t="n">
        <f aca="false">VLOOKUP($A230,BD_Items,10,0)*$N230</f>
        <v>0</v>
      </c>
      <c r="K230" s="69" t="n">
        <f aca="false">VLOOKUP($A230,BD_Items,11,0)*$N230</f>
        <v>0</v>
      </c>
      <c r="L230" s="69" t="n">
        <f aca="false">VLOOKUP($A230,BD_Items,12,0)*$N230</f>
        <v>0</v>
      </c>
      <c r="M230" s="70" t="n">
        <f aca="false">VLOOKUP($A230,BD_Items,13,0)</f>
        <v>890</v>
      </c>
      <c r="N230" s="21" t="n">
        <v>6</v>
      </c>
      <c r="O230" s="71" t="n">
        <f aca="false">M230*N230</f>
        <v>5340</v>
      </c>
      <c r="P230" s="68" t="n">
        <f aca="false">(D230*$N230)*(1+$S$1)</f>
        <v>39</v>
      </c>
      <c r="Q230" s="68" t="n">
        <f aca="false">(E230*$N230)*(1+$S$1)</f>
        <v>39</v>
      </c>
      <c r="R230" s="68" t="n">
        <f aca="false">(F230*$N230)*(1+$S$1)</f>
        <v>0</v>
      </c>
      <c r="S230" s="68" t="n">
        <f aca="false">(G230*$N230)*(1+$S$1)</f>
        <v>15.6</v>
      </c>
      <c r="T230" s="55" t="str">
        <f aca="false">VLOOKUP($A230,BD_Items,20,0)</f>
        <v>na</v>
      </c>
      <c r="Y230" s="1"/>
      <c r="Z230" s="1"/>
      <c r="AA230" s="1"/>
    </row>
    <row r="231" customFormat="false" ht="12.8" hidden="false" customHeight="false" outlineLevel="0" collapsed="false">
      <c r="A231" s="63" t="s">
        <v>335</v>
      </c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6" t="n">
        <v>15285</v>
      </c>
      <c r="N231" s="65"/>
      <c r="O231" s="66" t="n">
        <f aca="false">SUM(O232:O233)</f>
        <v>16100</v>
      </c>
      <c r="P231" s="65" t="n">
        <f aca="false">SUM(P232:P233)</f>
        <v>162.5</v>
      </c>
      <c r="Q231" s="65" t="n">
        <f aca="false">SUM(Q232:Q233)</f>
        <v>20.8</v>
      </c>
      <c r="R231" s="65" t="n">
        <f aca="false">SUM(R232:R233)</f>
        <v>0</v>
      </c>
      <c r="S231" s="65" t="n">
        <f aca="false">SUM(S232:S233)</f>
        <v>20.8</v>
      </c>
      <c r="T231" s="46"/>
      <c r="W231" s="76"/>
      <c r="Y231" s="1"/>
      <c r="Z231" s="1"/>
      <c r="AA231" s="1"/>
    </row>
    <row r="232" customFormat="false" ht="12.8" hidden="false" customHeight="false" outlineLevel="0" collapsed="false">
      <c r="A232" s="30" t="s">
        <v>204</v>
      </c>
      <c r="B232" s="67" t="n">
        <f aca="false">VLOOKUP($A232,BD_Items,2,0)</f>
        <v>0</v>
      </c>
      <c r="C232" s="67" t="n">
        <f aca="false">VLOOKUP($A232,BD_Items,3,0)</f>
        <v>0</v>
      </c>
      <c r="D232" s="68" t="n">
        <f aca="false">VLOOKUP($A232,BD_Items,4,0)</f>
        <v>0</v>
      </c>
      <c r="E232" s="68" t="n">
        <f aca="false">VLOOKUP($A232,BD_Items,5,0)</f>
        <v>8</v>
      </c>
      <c r="F232" s="68" t="n">
        <f aca="false">VLOOKUP($A232,BD_Items,6,0)</f>
        <v>0</v>
      </c>
      <c r="G232" s="68" t="n">
        <f aca="false">VLOOKUP($A232,BD_Items,7,0)</f>
        <v>8</v>
      </c>
      <c r="H232" s="69" t="n">
        <f aca="false">VLOOKUP($A232,BD_Items,8,0)*$N232</f>
        <v>0</v>
      </c>
      <c r="I232" s="69" t="n">
        <f aca="false">VLOOKUP($A232,BD_Items,9,0)*$N232</f>
        <v>0</v>
      </c>
      <c r="J232" s="69" t="n">
        <f aca="false">VLOOKUP($A232,BD_Items,10,0)*$N232</f>
        <v>0</v>
      </c>
      <c r="K232" s="69" t="n">
        <f aca="false">VLOOKUP($A232,BD_Items,11,0)*$N232</f>
        <v>0</v>
      </c>
      <c r="L232" s="69" t="n">
        <f aca="false">VLOOKUP($A232,BD_Items,12,0)*$N232</f>
        <v>0</v>
      </c>
      <c r="M232" s="70" t="n">
        <f aca="false">VLOOKUP($A232,BD_Items,13,0)</f>
        <v>1300</v>
      </c>
      <c r="N232" s="21" t="n">
        <v>2</v>
      </c>
      <c r="O232" s="71" t="n">
        <f aca="false">M232*N232</f>
        <v>2600</v>
      </c>
      <c r="P232" s="68" t="n">
        <f aca="false">(D232*$N232)*(1+$S$1)</f>
        <v>0</v>
      </c>
      <c r="Q232" s="68" t="n">
        <f aca="false">(E232*$N232)*(1+$S$1)</f>
        <v>20.8</v>
      </c>
      <c r="R232" s="68" t="n">
        <f aca="false">(F232*$N232)*(1+$S$1)</f>
        <v>0</v>
      </c>
      <c r="S232" s="68" t="n">
        <f aca="false">(G232*$N232)*(1+$S$1)</f>
        <v>20.8</v>
      </c>
      <c r="T232" s="55" t="str">
        <f aca="false">VLOOKUP($A232,BD_Items,20,0)</f>
        <v>na</v>
      </c>
      <c r="W232" s="76"/>
      <c r="Y232" s="1"/>
      <c r="Z232" s="1"/>
      <c r="AA232" s="1"/>
    </row>
    <row r="233" customFormat="false" ht="12.8" hidden="false" customHeight="false" outlineLevel="0" collapsed="false">
      <c r="A233" s="45" t="s">
        <v>146</v>
      </c>
      <c r="B233" s="67" t="n">
        <v>0</v>
      </c>
      <c r="C233" s="67" t="n">
        <v>0</v>
      </c>
      <c r="D233" s="68" t="n">
        <f aca="false">VLOOKUP($A233,BD_Items,4,0)</f>
        <v>25</v>
      </c>
      <c r="E233" s="68" t="n">
        <f aca="false">VLOOKUP($A233,BD_Items,5,0)</f>
        <v>0</v>
      </c>
      <c r="F233" s="68" t="n">
        <f aca="false">VLOOKUP($A233,BD_Items,6,0)</f>
        <v>0</v>
      </c>
      <c r="G233" s="68" t="n">
        <f aca="false">VLOOKUP($A233,BD_Items,7,0)</f>
        <v>0</v>
      </c>
      <c r="H233" s="69" t="n">
        <f aca="false">VLOOKUP($A233,BD_Items,8,0)*$N233</f>
        <v>0</v>
      </c>
      <c r="I233" s="69" t="n">
        <f aca="false">VLOOKUP($A233,BD_Items,9,0)*$N233</f>
        <v>0</v>
      </c>
      <c r="J233" s="69" t="n">
        <f aca="false">VLOOKUP($A233,BD_Items,10,0)*$N233</f>
        <v>0</v>
      </c>
      <c r="K233" s="69" t="n">
        <f aca="false">VLOOKUP($A233,BD_Items,11,0)*$N233</f>
        <v>0</v>
      </c>
      <c r="L233" s="69" t="n">
        <f aca="false">VLOOKUP($A233,BD_Items,12,0)*$N233</f>
        <v>0</v>
      </c>
      <c r="M233" s="70" t="n">
        <f aca="false">VLOOKUP($A233,BD_Items,13,0)</f>
        <v>2700</v>
      </c>
      <c r="N233" s="21" t="n">
        <v>5</v>
      </c>
      <c r="O233" s="71" t="n">
        <f aca="false">M233*N233</f>
        <v>13500</v>
      </c>
      <c r="P233" s="68" t="n">
        <f aca="false">(D233*$N233)*(1+$S$1)</f>
        <v>162.5</v>
      </c>
      <c r="Q233" s="68" t="n">
        <f aca="false">(E233*$N233)*(1+$S$1)</f>
        <v>0</v>
      </c>
      <c r="R233" s="68" t="n">
        <f aca="false">(F233*$N233)*(1+$S$1)</f>
        <v>0</v>
      </c>
      <c r="S233" s="68" t="n">
        <f aca="false">(G233*$N233)*(1+$S$1)</f>
        <v>0</v>
      </c>
      <c r="T233" s="55" t="str">
        <f aca="false">VLOOKUP($A233,BD_Items,20,0)</f>
        <v>Potenciador de Carga X</v>
      </c>
      <c r="W233" s="77"/>
      <c r="Y233" s="1"/>
      <c r="Z233" s="1"/>
      <c r="AA233" s="1"/>
    </row>
    <row r="234" customFormat="false" ht="12.8" hidden="false" customHeight="false" outlineLevel="0" collapsed="false">
      <c r="A234" s="63" t="s">
        <v>336</v>
      </c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6" t="n">
        <v>22150</v>
      </c>
      <c r="N234" s="65"/>
      <c r="O234" s="66" t="n">
        <f aca="false">SUM(O235:O236)</f>
        <v>22320</v>
      </c>
      <c r="P234" s="65" t="n">
        <f aca="false">SUM(P235:P236)</f>
        <v>217.1</v>
      </c>
      <c r="Q234" s="65" t="n">
        <f aca="false">SUM(Q235:Q236)</f>
        <v>208</v>
      </c>
      <c r="R234" s="65" t="n">
        <f aca="false">SUM(R235:R236)</f>
        <v>-78</v>
      </c>
      <c r="S234" s="65" t="n">
        <f aca="false">SUM(S235:S236)</f>
        <v>-78</v>
      </c>
      <c r="T234" s="46"/>
      <c r="W234" s="76"/>
      <c r="Y234" s="1"/>
      <c r="Z234" s="1"/>
      <c r="AA234" s="1"/>
    </row>
    <row r="235" customFormat="false" ht="12.8" hidden="false" customHeight="false" outlineLevel="0" collapsed="false">
      <c r="A235" s="30" t="s">
        <v>140</v>
      </c>
      <c r="B235" s="67" t="n">
        <f aca="false">VLOOKUP($A235,BD_Items,2,0)</f>
        <v>0</v>
      </c>
      <c r="C235" s="67" t="n">
        <f aca="false">VLOOKUP($A235,BD_Items,3,0)</f>
        <v>0</v>
      </c>
      <c r="D235" s="68" t="n">
        <f aca="false">VLOOKUP($A235,BD_Items,4,0)</f>
        <v>8</v>
      </c>
      <c r="E235" s="68" t="n">
        <f aca="false">VLOOKUP($A235,BD_Items,5,0)</f>
        <v>8</v>
      </c>
      <c r="F235" s="68" t="n">
        <f aca="false">VLOOKUP($A235,BD_Items,6,0)</f>
        <v>-3</v>
      </c>
      <c r="G235" s="68" t="n">
        <f aca="false">VLOOKUP($A235,BD_Items,7,0)</f>
        <v>-3</v>
      </c>
      <c r="H235" s="69" t="n">
        <f aca="false">VLOOKUP($A235,BD_Items,8,0)*$N235</f>
        <v>0</v>
      </c>
      <c r="I235" s="69" t="n">
        <f aca="false">VLOOKUP($A235,BD_Items,9,0)*$N235</f>
        <v>0</v>
      </c>
      <c r="J235" s="69" t="n">
        <f aca="false">VLOOKUP($A235,BD_Items,10,0)*$N235</f>
        <v>0</v>
      </c>
      <c r="K235" s="69" t="n">
        <f aca="false">VLOOKUP($A235,BD_Items,11,0)*$N235</f>
        <v>0</v>
      </c>
      <c r="L235" s="69" t="n">
        <f aca="false">VLOOKUP($A235,BD_Items,12,0)*$N235</f>
        <v>0</v>
      </c>
      <c r="M235" s="70" t="n">
        <f aca="false">VLOOKUP($A235,BD_Items,13,0)</f>
        <v>1000</v>
      </c>
      <c r="N235" s="21" t="n">
        <v>20</v>
      </c>
      <c r="O235" s="71" t="n">
        <f aca="false">M235*N235</f>
        <v>20000</v>
      </c>
      <c r="P235" s="68" t="n">
        <f aca="false">(D235*$N235)*(1+$S$1)</f>
        <v>208</v>
      </c>
      <c r="Q235" s="68" t="n">
        <f aca="false">(E235*$N235)*(1+$S$1)</f>
        <v>208</v>
      </c>
      <c r="R235" s="68" t="n">
        <f aca="false">(F235*$N235)*(1+$S$1)</f>
        <v>-78</v>
      </c>
      <c r="S235" s="68" t="n">
        <f aca="false">(G235*$N235)*(1+$S$1)</f>
        <v>-78</v>
      </c>
      <c r="T235" s="55" t="str">
        <f aca="false">VLOOKUP($A235,BD_Items,20,0)</f>
        <v>Aplastador X</v>
      </c>
      <c r="W235" s="76"/>
      <c r="Y235" s="1"/>
      <c r="Z235" s="1"/>
      <c r="AA235" s="1"/>
    </row>
    <row r="236" customFormat="false" ht="12.8" hidden="false" customHeight="false" outlineLevel="0" collapsed="false">
      <c r="A236" s="45" t="s">
        <v>286</v>
      </c>
      <c r="B236" s="67" t="n">
        <v>0</v>
      </c>
      <c r="C236" s="67" t="n">
        <v>0</v>
      </c>
      <c r="D236" s="68" t="n">
        <f aca="false">VLOOKUP($A236,BD_Items,4,0)</f>
        <v>7</v>
      </c>
      <c r="E236" s="68" t="n">
        <f aca="false">VLOOKUP($A236,BD_Items,5,0)</f>
        <v>0</v>
      </c>
      <c r="F236" s="68" t="n">
        <f aca="false">VLOOKUP($A236,BD_Items,6,0)</f>
        <v>0</v>
      </c>
      <c r="G236" s="68" t="n">
        <f aca="false">VLOOKUP($A236,BD_Items,7,0)</f>
        <v>0</v>
      </c>
      <c r="H236" s="69" t="n">
        <f aca="false">VLOOKUP($A236,BD_Items,8,0)*$N236</f>
        <v>0</v>
      </c>
      <c r="I236" s="69" t="n">
        <f aca="false">VLOOKUP($A236,BD_Items,9,0)*$N236</f>
        <v>0</v>
      </c>
      <c r="J236" s="69" t="n">
        <f aca="false">VLOOKUP($A236,BD_Items,10,0)*$N236</f>
        <v>0</v>
      </c>
      <c r="K236" s="69" t="n">
        <f aca="false">VLOOKUP($A236,BD_Items,11,0)*$N236</f>
        <v>0</v>
      </c>
      <c r="L236" s="69" t="n">
        <f aca="false">VLOOKUP($A236,BD_Items,12,0)*$N236</f>
        <v>0</v>
      </c>
      <c r="M236" s="70" t="n">
        <f aca="false">VLOOKUP($A236,BD_Items,13,0)</f>
        <v>2320</v>
      </c>
      <c r="N236" s="21" t="n">
        <v>1</v>
      </c>
      <c r="O236" s="71" t="n">
        <f aca="false">M236*N236</f>
        <v>2320</v>
      </c>
      <c r="P236" s="68" t="n">
        <f aca="false">(D236*$N236)*(1+$S$1)</f>
        <v>9.1</v>
      </c>
      <c r="Q236" s="68" t="n">
        <f aca="false">(E236*$N236)*(1+$S$1)</f>
        <v>0</v>
      </c>
      <c r="R236" s="68" t="n">
        <f aca="false">(F236*$N236)*(1+$S$1)</f>
        <v>0</v>
      </c>
      <c r="S236" s="68" t="n">
        <f aca="false">(G236*$N236)*(1+$S$1)</f>
        <v>0</v>
      </c>
      <c r="T236" s="74" t="str">
        <f aca="false">VLOOKUP($A236,BD_Items,20,0)</f>
        <v>Potenciador de Trachyon X</v>
      </c>
      <c r="W236" s="77"/>
      <c r="Y236" s="1"/>
      <c r="Z236" s="1"/>
      <c r="AA236" s="1"/>
    </row>
    <row r="237" customFormat="false" ht="12.8" hidden="false" customHeight="false" outlineLevel="0" collapsed="false">
      <c r="A237" s="63" t="s">
        <v>337</v>
      </c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6" t="n">
        <v>12285</v>
      </c>
      <c r="N237" s="65"/>
      <c r="O237" s="66" t="n">
        <f aca="false">SUM(O238:O240)</f>
        <v>14260</v>
      </c>
      <c r="P237" s="65" t="n">
        <f aca="false">SUM(P238:P240)</f>
        <v>146.9</v>
      </c>
      <c r="Q237" s="65" t="n">
        <f aca="false">SUM(Q238:Q240)</f>
        <v>107.9</v>
      </c>
      <c r="R237" s="65" t="n">
        <f aca="false">SUM(R238:R240)</f>
        <v>-32.5</v>
      </c>
      <c r="S237" s="65" t="n">
        <f aca="false">SUM(S238:S240)</f>
        <v>-39</v>
      </c>
      <c r="T237" s="46"/>
      <c r="W237" s="76"/>
      <c r="Y237" s="1"/>
      <c r="Z237" s="1"/>
      <c r="AA237" s="1"/>
    </row>
    <row r="238" customFormat="false" ht="12.8" hidden="false" customHeight="false" outlineLevel="0" collapsed="false">
      <c r="A238" s="30" t="s">
        <v>140</v>
      </c>
      <c r="B238" s="67" t="n">
        <f aca="false">VLOOKUP($A238,BD_Items,2,0)</f>
        <v>0</v>
      </c>
      <c r="C238" s="67" t="n">
        <f aca="false">VLOOKUP($A238,BD_Items,3,0)</f>
        <v>0</v>
      </c>
      <c r="D238" s="68" t="n">
        <f aca="false">VLOOKUP($A238,BD_Items,4,0)</f>
        <v>8</v>
      </c>
      <c r="E238" s="68" t="n">
        <f aca="false">VLOOKUP($A238,BD_Items,5,0)</f>
        <v>8</v>
      </c>
      <c r="F238" s="68" t="n">
        <f aca="false">VLOOKUP($A238,BD_Items,6,0)</f>
        <v>-3</v>
      </c>
      <c r="G238" s="68" t="n">
        <f aca="false">VLOOKUP($A238,BD_Items,7,0)</f>
        <v>-3</v>
      </c>
      <c r="H238" s="69" t="n">
        <f aca="false">VLOOKUP($A238,BD_Items,8,0)*$N238</f>
        <v>0</v>
      </c>
      <c r="I238" s="69" t="n">
        <f aca="false">VLOOKUP($A238,BD_Items,9,0)*$N238</f>
        <v>0</v>
      </c>
      <c r="J238" s="69" t="n">
        <f aca="false">VLOOKUP($A238,BD_Items,10,0)*$N238</f>
        <v>0</v>
      </c>
      <c r="K238" s="69" t="n">
        <f aca="false">VLOOKUP($A238,BD_Items,11,0)*$N238</f>
        <v>0</v>
      </c>
      <c r="L238" s="69" t="n">
        <f aca="false">VLOOKUP($A238,BD_Items,12,0)*$N238</f>
        <v>0</v>
      </c>
      <c r="M238" s="70" t="n">
        <f aca="false">VLOOKUP($A238,BD_Items,13,0)</f>
        <v>1000</v>
      </c>
      <c r="N238" s="21" t="n">
        <v>10</v>
      </c>
      <c r="O238" s="71" t="n">
        <f aca="false">M238*N238</f>
        <v>10000</v>
      </c>
      <c r="P238" s="68" t="n">
        <f aca="false">(D238*$N238)*(1+$S$1)</f>
        <v>104</v>
      </c>
      <c r="Q238" s="68" t="n">
        <f aca="false">(E238*$N238)*(1+$S$1)</f>
        <v>104</v>
      </c>
      <c r="R238" s="68" t="n">
        <f aca="false">(F238*$N238)*(1+$S$1)</f>
        <v>-39</v>
      </c>
      <c r="S238" s="68" t="n">
        <f aca="false">(G238*$N238)*(1+$S$1)</f>
        <v>-39</v>
      </c>
      <c r="T238" s="55" t="str">
        <f aca="false">VLOOKUP($A238,BD_Items,20,0)</f>
        <v>Aplastador X</v>
      </c>
      <c r="W238" s="76"/>
      <c r="Y238" s="1"/>
      <c r="Z238" s="1"/>
      <c r="AA238" s="1"/>
    </row>
    <row r="239" customFormat="false" ht="12.8" hidden="false" customHeight="false" outlineLevel="0" collapsed="false">
      <c r="A239" s="20" t="s">
        <v>199</v>
      </c>
      <c r="B239" s="67" t="n">
        <v>0</v>
      </c>
      <c r="C239" s="67" t="n">
        <v>0</v>
      </c>
      <c r="D239" s="68" t="n">
        <f aca="false">VLOOKUP($A239,BD_Items,4,0)</f>
        <v>3</v>
      </c>
      <c r="E239" s="68" t="n">
        <f aca="false">VLOOKUP($A239,BD_Items,5,0)</f>
        <v>3</v>
      </c>
      <c r="F239" s="68" t="n">
        <f aca="false">VLOOKUP($A239,BD_Items,6,0)</f>
        <v>5</v>
      </c>
      <c r="G239" s="68" t="n">
        <f aca="false">VLOOKUP($A239,BD_Items,7,0)</f>
        <v>0</v>
      </c>
      <c r="H239" s="69" t="n">
        <f aca="false">VLOOKUP($A239,BD_Items,8,0)*$N239</f>
        <v>0</v>
      </c>
      <c r="I239" s="69" t="n">
        <f aca="false">VLOOKUP($A239,BD_Items,9,0)*$N239</f>
        <v>0</v>
      </c>
      <c r="J239" s="69" t="n">
        <f aca="false">VLOOKUP($A239,BD_Items,10,0)*$N239</f>
        <v>0</v>
      </c>
      <c r="K239" s="69" t="n">
        <f aca="false">VLOOKUP($A239,BD_Items,11,0)*$N239</f>
        <v>0</v>
      </c>
      <c r="L239" s="69" t="n">
        <f aca="false">VLOOKUP($A239,BD_Items,12,0)*$N239</f>
        <v>0</v>
      </c>
      <c r="M239" s="70" t="n">
        <f aca="false">VLOOKUP($A239,BD_Items,13,0)</f>
        <v>860</v>
      </c>
      <c r="N239" s="21" t="n">
        <v>1</v>
      </c>
      <c r="O239" s="71" t="n">
        <f aca="false">M239*N239</f>
        <v>860</v>
      </c>
      <c r="P239" s="68" t="n">
        <f aca="false">(D239*$N239)*(1+$S$1)</f>
        <v>3.9</v>
      </c>
      <c r="Q239" s="68" t="n">
        <f aca="false">(E239*$N239)*(1+$S$1)</f>
        <v>3.9</v>
      </c>
      <c r="R239" s="68" t="n">
        <f aca="false">(F239*$N239)*(1+$S$1)</f>
        <v>6.5</v>
      </c>
      <c r="S239" s="68" t="n">
        <f aca="false">(G239*$N239)*(1+$S$1)</f>
        <v>0</v>
      </c>
      <c r="T239" s="55" t="str">
        <f aca="false">VLOOKUP($A239,BD_Items,20,0)</f>
        <v>Barrera Protectora II</v>
      </c>
      <c r="W239" s="76"/>
      <c r="Y239" s="1"/>
      <c r="Z239" s="1"/>
      <c r="AA239" s="1"/>
    </row>
    <row r="240" customFormat="false" ht="12.8" hidden="false" customHeight="false" outlineLevel="0" collapsed="false">
      <c r="A240" s="45" t="s">
        <v>247</v>
      </c>
      <c r="B240" s="67" t="n">
        <v>0</v>
      </c>
      <c r="C240" s="67" t="n">
        <v>0</v>
      </c>
      <c r="D240" s="68" t="n">
        <f aca="false">VLOOKUP($A240,BD_Items,4,0)</f>
        <v>30</v>
      </c>
      <c r="E240" s="68" t="n">
        <f aca="false">VLOOKUP($A240,BD_Items,5,0)</f>
        <v>0</v>
      </c>
      <c r="F240" s="68" t="n">
        <f aca="false">VLOOKUP($A240,BD_Items,6,0)</f>
        <v>0</v>
      </c>
      <c r="G240" s="68" t="n">
        <f aca="false">VLOOKUP($A240,BD_Items,7,0)</f>
        <v>0</v>
      </c>
      <c r="H240" s="69" t="n">
        <f aca="false">VLOOKUP($A240,BD_Items,8,0)*$N240</f>
        <v>0</v>
      </c>
      <c r="I240" s="69" t="n">
        <f aca="false">VLOOKUP($A240,BD_Items,9,0)*$N240</f>
        <v>0</v>
      </c>
      <c r="J240" s="69" t="n">
        <f aca="false">VLOOKUP($A240,BD_Items,10,0)*$N240</f>
        <v>0</v>
      </c>
      <c r="K240" s="69" t="n">
        <f aca="false">VLOOKUP($A240,BD_Items,11,0)*$N240</f>
        <v>0</v>
      </c>
      <c r="L240" s="69" t="n">
        <f aca="false">VLOOKUP($A240,BD_Items,12,0)*$N240</f>
        <v>0</v>
      </c>
      <c r="M240" s="70" t="n">
        <f aca="false">VLOOKUP($A240,BD_Items,13,0)</f>
        <v>3400</v>
      </c>
      <c r="N240" s="21" t="n">
        <v>1</v>
      </c>
      <c r="O240" s="71" t="n">
        <f aca="false">M240*N240</f>
        <v>3400</v>
      </c>
      <c r="P240" s="68" t="n">
        <f aca="false">(D240*$N240)*(1+$S$1)</f>
        <v>39</v>
      </c>
      <c r="Q240" s="68" t="n">
        <f aca="false">(E240*$N240)*(1+$S$1)</f>
        <v>0</v>
      </c>
      <c r="R240" s="68" t="n">
        <f aca="false">(F240*$N240)*(1+$S$1)</f>
        <v>0</v>
      </c>
      <c r="S240" s="68" t="n">
        <f aca="false">(G240*$N240)*(1+$S$1)</f>
        <v>0</v>
      </c>
      <c r="T240" s="55" t="str">
        <f aca="false">VLOOKUP($A240,BD_Items,20,0)</f>
        <v>na</v>
      </c>
      <c r="Y240" s="1"/>
      <c r="Z240" s="1"/>
      <c r="AA240" s="1"/>
    </row>
    <row r="241" customFormat="false" ht="12.8" hidden="false" customHeight="false" outlineLevel="0" collapsed="false">
      <c r="A241" s="52" t="s">
        <v>313</v>
      </c>
      <c r="B241" s="52"/>
      <c r="C241" s="52"/>
      <c r="D241" s="52"/>
      <c r="E241" s="52"/>
      <c r="F241" s="52"/>
      <c r="G241" s="52"/>
      <c r="H241" s="52" t="n">
        <f aca="false">SUM(H229:H240)*(1+$S$1)</f>
        <v>0</v>
      </c>
      <c r="I241" s="52" t="n">
        <f aca="false">SUM(I229:I240)*(1+$S$1)</f>
        <v>0</v>
      </c>
      <c r="J241" s="52" t="n">
        <f aca="false">SUM(J229:J240)*(1+$S$1)</f>
        <v>0</v>
      </c>
      <c r="K241" s="52" t="n">
        <f aca="false">SUM(K229:K240)*(1+$S$1)</f>
        <v>0</v>
      </c>
      <c r="L241" s="52" t="n">
        <f aca="false">SUM(L229:L240)*(1+$S$1)</f>
        <v>0</v>
      </c>
      <c r="M241" s="72" t="n">
        <f aca="false">M228+M231+M234+M237</f>
        <v>58600</v>
      </c>
      <c r="N241" s="52"/>
      <c r="O241" s="72" t="n">
        <f aca="false">O228+O231+O234+O237</f>
        <v>61980</v>
      </c>
      <c r="P241" s="73" t="n">
        <f aca="false">P228+P231+P234+P237</f>
        <v>596.7</v>
      </c>
      <c r="Q241" s="73" t="n">
        <f aca="false">Q228+Q231+Q234+Q237</f>
        <v>375.7</v>
      </c>
      <c r="R241" s="73" t="n">
        <f aca="false">R228+R231+R234+R237</f>
        <v>-110.5</v>
      </c>
      <c r="S241" s="73" t="n">
        <f aca="false">S228+S231+S234+S237</f>
        <v>-49.4</v>
      </c>
      <c r="T241" s="59" t="n">
        <f aca="false">(P241+Q241+R241+S241)/4</f>
        <v>203.125</v>
      </c>
      <c r="Y241" s="1"/>
      <c r="Z241" s="1"/>
      <c r="AA241" s="1"/>
    </row>
    <row r="242" customFormat="false" ht="12.8" hidden="false" customHeight="false" outlineLevel="0" collapsed="false">
      <c r="Y242" s="1"/>
      <c r="Z242" s="1"/>
      <c r="AA242" s="1"/>
    </row>
    <row r="243" customFormat="false" ht="12.8" hidden="false" customHeight="false" outlineLevel="0" collapsed="false">
      <c r="Y243" s="1"/>
      <c r="Z243" s="1"/>
      <c r="AA243" s="1"/>
    </row>
    <row r="245" customFormat="false" ht="12.8" hidden="false" customHeight="false" outlineLevel="0" collapsed="false">
      <c r="A245" s="51"/>
      <c r="B245" s="52" t="s">
        <v>142</v>
      </c>
      <c r="C245" s="52" t="s">
        <v>145</v>
      </c>
      <c r="D245" s="52" t="s">
        <v>118</v>
      </c>
      <c r="E245" s="52" t="s">
        <v>160</v>
      </c>
      <c r="F245" s="52" t="s">
        <v>161</v>
      </c>
      <c r="G245" s="52" t="s">
        <v>162</v>
      </c>
      <c r="H245" s="52" t="s">
        <v>163</v>
      </c>
      <c r="I245" s="52" t="s">
        <v>164</v>
      </c>
      <c r="J245" s="52" t="s">
        <v>165</v>
      </c>
      <c r="K245" s="52" t="s">
        <v>166</v>
      </c>
      <c r="L245" s="52" t="s">
        <v>167</v>
      </c>
      <c r="M245" s="52" t="s">
        <v>119</v>
      </c>
      <c r="N245" s="52" t="s">
        <v>317</v>
      </c>
      <c r="O245" s="62" t="s">
        <v>318</v>
      </c>
      <c r="P245" s="52" t="s">
        <v>118</v>
      </c>
      <c r="Q245" s="52" t="s">
        <v>160</v>
      </c>
      <c r="R245" s="52" t="s">
        <v>306</v>
      </c>
      <c r="S245" s="52" t="s">
        <v>307</v>
      </c>
      <c r="T245" s="52" t="s">
        <v>172</v>
      </c>
      <c r="W245" s="12" t="s">
        <v>338</v>
      </c>
    </row>
    <row r="246" customFormat="false" ht="12.8" hidden="false" customHeight="false" outlineLevel="0" collapsed="false">
      <c r="A246" s="63" t="s">
        <v>339</v>
      </c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6" t="n">
        <v>18730</v>
      </c>
      <c r="N246" s="65"/>
      <c r="O246" s="66" t="n">
        <f aca="false">SUM(O247:O248)</f>
        <v>19000</v>
      </c>
      <c r="P246" s="65" t="n">
        <f aca="false">SUM(P247:P248)</f>
        <v>58.5</v>
      </c>
      <c r="Q246" s="65" t="n">
        <f aca="false">SUM(Q247:Q248)</f>
        <v>169</v>
      </c>
      <c r="R246" s="65" t="n">
        <f aca="false">SUM(R247:R248)</f>
        <v>58.5</v>
      </c>
      <c r="S246" s="65" t="n">
        <f aca="false">SUM(S247:S248)</f>
        <v>58.5</v>
      </c>
      <c r="T246" s="46"/>
    </row>
    <row r="247" customFormat="false" ht="12.8" hidden="false" customHeight="false" outlineLevel="0" collapsed="false">
      <c r="A247" s="20" t="s">
        <v>178</v>
      </c>
      <c r="B247" s="67" t="n">
        <f aca="false">VLOOKUP($A247,BD_Items,2,0)</f>
        <v>0</v>
      </c>
      <c r="C247" s="67" t="n">
        <f aca="false">VLOOKUP($A247,BD_Items,3,0)</f>
        <v>0</v>
      </c>
      <c r="D247" s="68" t="n">
        <f aca="false">VLOOKUP($A247,BD_Items,4,0)</f>
        <v>15</v>
      </c>
      <c r="E247" s="68" t="n">
        <f aca="false">VLOOKUP($A247,BD_Items,5,0)</f>
        <v>0</v>
      </c>
      <c r="F247" s="68" t="n">
        <f aca="false">VLOOKUP($A247,BD_Items,6,0)</f>
        <v>15</v>
      </c>
      <c r="G247" s="68" t="n">
        <f aca="false">VLOOKUP($A247,BD_Items,7,0)</f>
        <v>15</v>
      </c>
      <c r="H247" s="69" t="n">
        <f aca="false">VLOOKUP($A247,BD_Items,8,0)*$N247</f>
        <v>0</v>
      </c>
      <c r="I247" s="69" t="n">
        <f aca="false">VLOOKUP($A247,BD_Items,9,0)*$N247</f>
        <v>0</v>
      </c>
      <c r="J247" s="69" t="n">
        <f aca="false">VLOOKUP($A247,BD_Items,10,0)*$N247</f>
        <v>0</v>
      </c>
      <c r="K247" s="69" t="n">
        <f aca="false">VLOOKUP($A247,BD_Items,11,0)*$N247</f>
        <v>0</v>
      </c>
      <c r="L247" s="69" t="n">
        <f aca="false">VLOOKUP($A247,BD_Items,12,0)*$N247</f>
        <v>0</v>
      </c>
      <c r="M247" s="70" t="n">
        <f aca="false">VLOOKUP($A247,BD_Items,13,0)</f>
        <v>2500</v>
      </c>
      <c r="N247" s="21" t="n">
        <v>3</v>
      </c>
      <c r="O247" s="71" t="n">
        <f aca="false">M247*N247</f>
        <v>7500</v>
      </c>
      <c r="P247" s="68" t="n">
        <f aca="false">(D247*$N247)*(1+$S$1)</f>
        <v>58.5</v>
      </c>
      <c r="Q247" s="68" t="n">
        <f aca="false">(E247*$N247)*(1+$S$1)</f>
        <v>0</v>
      </c>
      <c r="R247" s="68" t="n">
        <f aca="false">(F247*$N247)*(1+$S$1)</f>
        <v>58.5</v>
      </c>
      <c r="S247" s="68" t="n">
        <f aca="false">(G247*$N247)*(1+$S$1)</f>
        <v>58.5</v>
      </c>
      <c r="T247" s="55" t="str">
        <f aca="false">VLOOKUP($A247,BD_Items,20,0)</f>
        <v>Flaqueza X</v>
      </c>
    </row>
    <row r="248" customFormat="false" ht="12.8" hidden="false" customHeight="false" outlineLevel="0" collapsed="false">
      <c r="A248" s="20" t="s">
        <v>220</v>
      </c>
      <c r="B248" s="67" t="n">
        <v>0</v>
      </c>
      <c r="C248" s="67" t="n">
        <v>0</v>
      </c>
      <c r="D248" s="68" t="n">
        <f aca="false">VLOOKUP($A248,BD_Items,4,0)</f>
        <v>0</v>
      </c>
      <c r="E248" s="68" t="n">
        <f aca="false">VLOOKUP($A248,BD_Items,5,0)</f>
        <v>26</v>
      </c>
      <c r="F248" s="68" t="n">
        <f aca="false">VLOOKUP($A248,BD_Items,6,0)</f>
        <v>0</v>
      </c>
      <c r="G248" s="68" t="n">
        <f aca="false">VLOOKUP($A248,BD_Items,7,0)</f>
        <v>0</v>
      </c>
      <c r="H248" s="69" t="n">
        <f aca="false">VLOOKUP($A248,BD_Items,8,0)*$N248</f>
        <v>0</v>
      </c>
      <c r="I248" s="69" t="n">
        <f aca="false">VLOOKUP($A248,BD_Items,9,0)*$N248</f>
        <v>0</v>
      </c>
      <c r="J248" s="69" t="n">
        <f aca="false">VLOOKUP($A248,BD_Items,10,0)*$N248</f>
        <v>0</v>
      </c>
      <c r="K248" s="69" t="n">
        <f aca="false">VLOOKUP($A248,BD_Items,11,0)*$N248</f>
        <v>0</v>
      </c>
      <c r="L248" s="69" t="n">
        <f aca="false">VLOOKUP($A248,BD_Items,12,0)*$N248</f>
        <v>0</v>
      </c>
      <c r="M248" s="70" t="n">
        <f aca="false">VLOOKUP($A248,BD_Items,13,0)</f>
        <v>2300</v>
      </c>
      <c r="N248" s="21" t="n">
        <v>5</v>
      </c>
      <c r="O248" s="71" t="n">
        <f aca="false">M248*N248</f>
        <v>11500</v>
      </c>
      <c r="P248" s="68" t="n">
        <f aca="false">(D248*$N248)*(1+$S$1)</f>
        <v>0</v>
      </c>
      <c r="Q248" s="68" t="n">
        <f aca="false">(E248*$N248)*(1+$S$1)</f>
        <v>169</v>
      </c>
      <c r="R248" s="68" t="n">
        <f aca="false">(F248*$N248)*(1+$S$1)</f>
        <v>0</v>
      </c>
      <c r="S248" s="68" t="n">
        <f aca="false">(G248*$N248)*(1+$S$1)</f>
        <v>0</v>
      </c>
      <c r="T248" s="55" t="str">
        <f aca="false">VLOOKUP($A248,BD_Items,20,0)</f>
        <v>na</v>
      </c>
    </row>
    <row r="249" customFormat="false" ht="12.8" hidden="false" customHeight="false" outlineLevel="0" collapsed="false">
      <c r="A249" s="63" t="s">
        <v>340</v>
      </c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6" t="n">
        <v>27585</v>
      </c>
      <c r="N249" s="65"/>
      <c r="O249" s="66" t="n">
        <f aca="false">SUM(O250:O258)</f>
        <v>28050</v>
      </c>
      <c r="P249" s="65" t="n">
        <f aca="false">SUM(P250:P258)</f>
        <v>78</v>
      </c>
      <c r="Q249" s="65" t="n">
        <f aca="false">SUM(Q250:Q258)</f>
        <v>101.4</v>
      </c>
      <c r="R249" s="65" t="n">
        <f aca="false">SUM(R250:R258)</f>
        <v>78</v>
      </c>
      <c r="S249" s="65" t="n">
        <f aca="false">SUM(S250:S258)</f>
        <v>78</v>
      </c>
      <c r="T249" s="46"/>
    </row>
    <row r="250" customFormat="false" ht="12.8" hidden="false" customHeight="false" outlineLevel="0" collapsed="false">
      <c r="A250" s="20" t="s">
        <v>178</v>
      </c>
      <c r="B250" s="67" t="n">
        <f aca="false">VLOOKUP($A250,BD_Items,2,0)</f>
        <v>0</v>
      </c>
      <c r="C250" s="67" t="n">
        <f aca="false">VLOOKUP($A250,BD_Items,3,0)</f>
        <v>0</v>
      </c>
      <c r="D250" s="68" t="n">
        <f aca="false">VLOOKUP($A250,BD_Items,4,0)</f>
        <v>15</v>
      </c>
      <c r="E250" s="68" t="n">
        <f aca="false">VLOOKUP($A250,BD_Items,5,0)</f>
        <v>0</v>
      </c>
      <c r="F250" s="68" t="n">
        <f aca="false">VLOOKUP($A250,BD_Items,6,0)</f>
        <v>15</v>
      </c>
      <c r="G250" s="68" t="n">
        <f aca="false">VLOOKUP($A250,BD_Items,7,0)</f>
        <v>15</v>
      </c>
      <c r="H250" s="69" t="n">
        <f aca="false">VLOOKUP($A250,BD_Items,8,0)*$N250</f>
        <v>0</v>
      </c>
      <c r="I250" s="69" t="n">
        <f aca="false">VLOOKUP($A250,BD_Items,9,0)*$N250</f>
        <v>0</v>
      </c>
      <c r="J250" s="69" t="n">
        <f aca="false">VLOOKUP($A250,BD_Items,10,0)*$N250</f>
        <v>0</v>
      </c>
      <c r="K250" s="69" t="n">
        <f aca="false">VLOOKUP($A250,BD_Items,11,0)*$N250</f>
        <v>0</v>
      </c>
      <c r="L250" s="69" t="n">
        <f aca="false">VLOOKUP($A250,BD_Items,12,0)*$N250</f>
        <v>0</v>
      </c>
      <c r="M250" s="70" t="n">
        <f aca="false">VLOOKUP($A250,BD_Items,13,0)</f>
        <v>2500</v>
      </c>
      <c r="N250" s="21" t="n">
        <v>4</v>
      </c>
      <c r="O250" s="71" t="n">
        <f aca="false">M250*N250</f>
        <v>10000</v>
      </c>
      <c r="P250" s="68" t="n">
        <f aca="false">(D250*$N250)*(1+$S$1)</f>
        <v>78</v>
      </c>
      <c r="Q250" s="68" t="n">
        <f aca="false">(E250*$N250)*(1+$S$1)</f>
        <v>0</v>
      </c>
      <c r="R250" s="68" t="n">
        <f aca="false">(F250*$N250)*(1+$S$1)</f>
        <v>78</v>
      </c>
      <c r="S250" s="68" t="n">
        <f aca="false">(G250*$N250)*(1+$S$1)</f>
        <v>78</v>
      </c>
      <c r="T250" s="55" t="str">
        <f aca="false">VLOOKUP($A250,BD_Items,20,0)</f>
        <v>Flaqueza X</v>
      </c>
    </row>
    <row r="251" customFormat="false" ht="12.8" hidden="false" customHeight="false" outlineLevel="0" collapsed="false">
      <c r="A251" s="20" t="s">
        <v>302</v>
      </c>
      <c r="B251" s="67" t="n">
        <f aca="false">VLOOKUP($A251,BD_Items,2,0)</f>
        <v>0</v>
      </c>
      <c r="C251" s="67" t="n">
        <f aca="false">VLOOKUP($A251,BD_Items,3,0)</f>
        <v>0</v>
      </c>
      <c r="D251" s="68" t="n">
        <f aca="false">VLOOKUP($A251,BD_Items,4,0)</f>
        <v>0</v>
      </c>
      <c r="E251" s="68" t="n">
        <f aca="false">VLOOKUP($A251,BD_Items,5,0)</f>
        <v>0</v>
      </c>
      <c r="F251" s="68" t="n">
        <f aca="false">VLOOKUP($A251,BD_Items,6,0)</f>
        <v>0</v>
      </c>
      <c r="G251" s="68" t="n">
        <f aca="false">VLOOKUP($A251,BD_Items,7,0)</f>
        <v>0</v>
      </c>
      <c r="H251" s="69" t="n">
        <f aca="false">VLOOKUP($A251,BD_Items,8,0)*$N251</f>
        <v>42</v>
      </c>
      <c r="I251" s="69" t="n">
        <f aca="false">VLOOKUP($A251,BD_Items,9,0)*$N251</f>
        <v>0</v>
      </c>
      <c r="J251" s="69" t="n">
        <f aca="false">VLOOKUP($A251,BD_Items,10,0)*$N251</f>
        <v>0</v>
      </c>
      <c r="K251" s="69" t="n">
        <f aca="false">VLOOKUP($A251,BD_Items,11,0)*$N251</f>
        <v>0</v>
      </c>
      <c r="L251" s="69" t="n">
        <f aca="false">VLOOKUP($A251,BD_Items,12,0)*$N251</f>
        <v>0</v>
      </c>
      <c r="M251" s="70" t="n">
        <f aca="false">VLOOKUP($A251,BD_Items,13,0)</f>
        <v>300</v>
      </c>
      <c r="N251" s="21" t="n">
        <v>6</v>
      </c>
      <c r="O251" s="71" t="n">
        <f aca="false">M251*N251</f>
        <v>1800</v>
      </c>
      <c r="P251" s="68" t="n">
        <f aca="false">(D251*$N251)*(1+$S$1)</f>
        <v>0</v>
      </c>
      <c r="Q251" s="68" t="n">
        <f aca="false">(E251*$N251)*(1+$S$1)</f>
        <v>0</v>
      </c>
      <c r="R251" s="68" t="n">
        <f aca="false">(F251*$N251)*(1+$S$1)</f>
        <v>0</v>
      </c>
      <c r="S251" s="68" t="n">
        <f aca="false">(G251*$N251)*(1+$S$1)</f>
        <v>0</v>
      </c>
      <c r="T251" s="55" t="str">
        <f aca="false">VLOOKUP($A251,BD_Items,20,0)</f>
        <v>na</v>
      </c>
    </row>
    <row r="252" customFormat="false" ht="12.8" hidden="false" customHeight="false" outlineLevel="0" collapsed="false">
      <c r="A252" s="20" t="s">
        <v>293</v>
      </c>
      <c r="B252" s="67" t="n">
        <f aca="false">VLOOKUP($A252,BD_Items,2,0)</f>
        <v>0</v>
      </c>
      <c r="C252" s="67" t="n">
        <f aca="false">VLOOKUP($A252,BD_Items,3,0)</f>
        <v>0</v>
      </c>
      <c r="D252" s="68" t="n">
        <f aca="false">VLOOKUP($A252,BD_Items,4,0)</f>
        <v>0</v>
      </c>
      <c r="E252" s="68" t="n">
        <f aca="false">VLOOKUP($A252,BD_Items,5,0)</f>
        <v>0</v>
      </c>
      <c r="F252" s="68" t="n">
        <f aca="false">VLOOKUP($A252,BD_Items,6,0)</f>
        <v>0</v>
      </c>
      <c r="G252" s="68" t="n">
        <f aca="false">VLOOKUP($A252,BD_Items,7,0)</f>
        <v>0</v>
      </c>
      <c r="H252" s="69" t="n">
        <f aca="false">VLOOKUP($A252,BD_Items,8,0)*$N252</f>
        <v>0</v>
      </c>
      <c r="I252" s="69" t="n">
        <f aca="false">VLOOKUP($A252,BD_Items,9,0)*$N252</f>
        <v>30</v>
      </c>
      <c r="J252" s="69" t="n">
        <f aca="false">VLOOKUP($A252,BD_Items,10,0)*$N252</f>
        <v>0</v>
      </c>
      <c r="K252" s="69" t="n">
        <f aca="false">VLOOKUP($A252,BD_Items,11,0)*$N252</f>
        <v>0</v>
      </c>
      <c r="L252" s="69" t="n">
        <f aca="false">VLOOKUP($A252,BD_Items,12,0)*$N252</f>
        <v>0</v>
      </c>
      <c r="M252" s="70" t="n">
        <f aca="false">VLOOKUP($A252,BD_Items,13,0)</f>
        <v>1270</v>
      </c>
      <c r="N252" s="21" t="n">
        <v>1</v>
      </c>
      <c r="O252" s="71" t="n">
        <f aca="false">M252*N252</f>
        <v>1270</v>
      </c>
      <c r="P252" s="68" t="n">
        <f aca="false">(D252*$N252)*(1+$S$1)</f>
        <v>0</v>
      </c>
      <c r="Q252" s="68" t="n">
        <f aca="false">(E252*$N252)*(1+$S$1)</f>
        <v>0</v>
      </c>
      <c r="R252" s="68" t="n">
        <f aca="false">(F252*$N252)*(1+$S$1)</f>
        <v>0</v>
      </c>
      <c r="S252" s="68" t="n">
        <f aca="false">(G252*$N252)*(1+$S$1)</f>
        <v>0</v>
      </c>
      <c r="T252" s="55" t="str">
        <f aca="false">VLOOKUP($A252,BD_Items,20,0)</f>
        <v>Vinculo Gélido</v>
      </c>
    </row>
    <row r="253" customFormat="false" ht="12.8" hidden="false" customHeight="false" outlineLevel="0" collapsed="false">
      <c r="A253" s="20" t="s">
        <v>301</v>
      </c>
      <c r="B253" s="67" t="n">
        <f aca="false">VLOOKUP($A253,BD_Items,2,0)</f>
        <v>0</v>
      </c>
      <c r="C253" s="67" t="n">
        <f aca="false">VLOOKUP($A253,BD_Items,3,0)</f>
        <v>0</v>
      </c>
      <c r="D253" s="68" t="n">
        <f aca="false">VLOOKUP($A253,BD_Items,4,0)</f>
        <v>0</v>
      </c>
      <c r="E253" s="68" t="n">
        <f aca="false">VLOOKUP($A253,BD_Items,5,0)</f>
        <v>0</v>
      </c>
      <c r="F253" s="68" t="n">
        <f aca="false">VLOOKUP($A253,BD_Items,6,0)</f>
        <v>0</v>
      </c>
      <c r="G253" s="68" t="n">
        <f aca="false">VLOOKUP($A253,BD_Items,7,0)</f>
        <v>0</v>
      </c>
      <c r="H253" s="69" t="n">
        <f aca="false">VLOOKUP($A253,BD_Items,8,0)*$N253</f>
        <v>0</v>
      </c>
      <c r="I253" s="69" t="n">
        <f aca="false">VLOOKUP($A253,BD_Items,9,0)*$N253</f>
        <v>21</v>
      </c>
      <c r="J253" s="69" t="n">
        <f aca="false">VLOOKUP($A253,BD_Items,10,0)*$N253</f>
        <v>0</v>
      </c>
      <c r="K253" s="69" t="n">
        <f aca="false">VLOOKUP($A253,BD_Items,11,0)*$N253</f>
        <v>0</v>
      </c>
      <c r="L253" s="69" t="n">
        <f aca="false">VLOOKUP($A253,BD_Items,12,0)*$N253</f>
        <v>0</v>
      </c>
      <c r="M253" s="70" t="n">
        <f aca="false">VLOOKUP($A253,BD_Items,13,0)</f>
        <v>300</v>
      </c>
      <c r="N253" s="21" t="n">
        <v>3</v>
      </c>
      <c r="O253" s="71" t="n">
        <f aca="false">M253*N253</f>
        <v>900</v>
      </c>
      <c r="P253" s="68" t="n">
        <f aca="false">(D253*$N253)*(1+$S$1)</f>
        <v>0</v>
      </c>
      <c r="Q253" s="68" t="n">
        <f aca="false">(E253*$N253)*(1+$S$1)</f>
        <v>0</v>
      </c>
      <c r="R253" s="68" t="n">
        <f aca="false">(F253*$N253)*(1+$S$1)</f>
        <v>0</v>
      </c>
      <c r="S253" s="68" t="n">
        <f aca="false">(G253*$N253)*(1+$S$1)</f>
        <v>0</v>
      </c>
      <c r="T253" s="55" t="str">
        <f aca="false">VLOOKUP($A253,BD_Items,20,0)</f>
        <v>na</v>
      </c>
    </row>
    <row r="254" customFormat="false" ht="12.8" hidden="false" customHeight="false" outlineLevel="0" collapsed="false">
      <c r="A254" s="20" t="s">
        <v>300</v>
      </c>
      <c r="B254" s="67" t="n">
        <f aca="false">VLOOKUP($A254,BD_Items,2,0)</f>
        <v>0</v>
      </c>
      <c r="C254" s="67" t="n">
        <f aca="false">VLOOKUP($A254,BD_Items,3,0)</f>
        <v>0</v>
      </c>
      <c r="D254" s="68" t="n">
        <f aca="false">VLOOKUP($A254,BD_Items,4,0)</f>
        <v>0</v>
      </c>
      <c r="E254" s="68" t="n">
        <f aca="false">VLOOKUP($A254,BD_Items,5,0)</f>
        <v>0</v>
      </c>
      <c r="F254" s="68" t="n">
        <f aca="false">VLOOKUP($A254,BD_Items,6,0)</f>
        <v>0</v>
      </c>
      <c r="G254" s="68" t="n">
        <f aca="false">VLOOKUP($A254,BD_Items,7,0)</f>
        <v>0</v>
      </c>
      <c r="H254" s="69" t="n">
        <f aca="false">VLOOKUP($A254,BD_Items,8,0)*$N254</f>
        <v>0</v>
      </c>
      <c r="I254" s="69" t="n">
        <f aca="false">VLOOKUP($A254,BD_Items,9,0)*$N254</f>
        <v>0</v>
      </c>
      <c r="J254" s="69" t="n">
        <f aca="false">VLOOKUP($A254,BD_Items,10,0)*$N254</f>
        <v>42</v>
      </c>
      <c r="K254" s="69" t="n">
        <f aca="false">VLOOKUP($A254,BD_Items,11,0)*$N254</f>
        <v>0</v>
      </c>
      <c r="L254" s="69" t="n">
        <f aca="false">VLOOKUP($A254,BD_Items,12,0)*$N254</f>
        <v>0</v>
      </c>
      <c r="M254" s="70" t="n">
        <f aca="false">VLOOKUP($A254,BD_Items,13,0)</f>
        <v>300</v>
      </c>
      <c r="N254" s="21" t="n">
        <v>6</v>
      </c>
      <c r="O254" s="71" t="n">
        <f aca="false">M254*N254</f>
        <v>1800</v>
      </c>
      <c r="P254" s="68" t="n">
        <f aca="false">(D254*$N254)*(1+$S$1)</f>
        <v>0</v>
      </c>
      <c r="Q254" s="68" t="n">
        <f aca="false">(E254*$N254)*(1+$S$1)</f>
        <v>0</v>
      </c>
      <c r="R254" s="68" t="n">
        <f aca="false">(F254*$N254)*(1+$S$1)</f>
        <v>0</v>
      </c>
      <c r="S254" s="68" t="n">
        <f aca="false">(G254*$N254)*(1+$S$1)</f>
        <v>0</v>
      </c>
      <c r="T254" s="55" t="str">
        <f aca="false">VLOOKUP($A254,BD_Items,20,0)</f>
        <v>na</v>
      </c>
    </row>
    <row r="255" customFormat="false" ht="12.8" hidden="false" customHeight="false" outlineLevel="0" collapsed="false">
      <c r="A255" s="20" t="s">
        <v>290</v>
      </c>
      <c r="B255" s="67" t="n">
        <f aca="false">VLOOKUP($A255,BD_Items,2,0)</f>
        <v>0</v>
      </c>
      <c r="C255" s="67" t="n">
        <f aca="false">VLOOKUP($A255,BD_Items,3,0)</f>
        <v>0</v>
      </c>
      <c r="D255" s="68" t="n">
        <f aca="false">VLOOKUP($A255,BD_Items,4,0)</f>
        <v>0</v>
      </c>
      <c r="E255" s="68" t="n">
        <f aca="false">VLOOKUP($A255,BD_Items,5,0)</f>
        <v>0</v>
      </c>
      <c r="F255" s="68" t="n">
        <f aca="false">VLOOKUP($A255,BD_Items,6,0)</f>
        <v>0</v>
      </c>
      <c r="G255" s="68" t="n">
        <f aca="false">VLOOKUP($A255,BD_Items,7,0)</f>
        <v>0</v>
      </c>
      <c r="H255" s="69" t="n">
        <f aca="false">VLOOKUP($A255,BD_Items,8,0)*$N255</f>
        <v>0</v>
      </c>
      <c r="I255" s="69" t="n">
        <f aca="false">VLOOKUP($A255,BD_Items,9,0)*$N255</f>
        <v>0</v>
      </c>
      <c r="J255" s="69" t="n">
        <f aca="false">VLOOKUP($A255,BD_Items,10,0)*$N255</f>
        <v>0</v>
      </c>
      <c r="K255" s="69" t="n">
        <f aca="false">VLOOKUP($A255,BD_Items,11,0)*$N255</f>
        <v>60</v>
      </c>
      <c r="L255" s="69" t="n">
        <f aca="false">VLOOKUP($A255,BD_Items,12,0)*$N255</f>
        <v>0</v>
      </c>
      <c r="M255" s="70" t="n">
        <f aca="false">VLOOKUP($A255,BD_Items,13,0)</f>
        <v>1270</v>
      </c>
      <c r="N255" s="21" t="n">
        <v>2</v>
      </c>
      <c r="O255" s="71" t="n">
        <f aca="false">M255*N255</f>
        <v>2540</v>
      </c>
      <c r="P255" s="68" t="n">
        <f aca="false">(D255*$N255)*(1+$S$1)</f>
        <v>0</v>
      </c>
      <c r="Q255" s="68" t="n">
        <f aca="false">(E255*$N255)*(1+$S$1)</f>
        <v>0</v>
      </c>
      <c r="R255" s="68" t="n">
        <f aca="false">(F255*$N255)*(1+$S$1)</f>
        <v>0</v>
      </c>
      <c r="S255" s="68" t="n">
        <f aca="false">(G255*$N255)*(1+$S$1)</f>
        <v>0</v>
      </c>
      <c r="T255" s="55" t="str">
        <f aca="false">VLOOKUP($A255,BD_Items,20,0)</f>
        <v>na</v>
      </c>
    </row>
    <row r="256" customFormat="false" ht="12.8" hidden="false" customHeight="false" outlineLevel="0" collapsed="false">
      <c r="A256" s="20" t="s">
        <v>289</v>
      </c>
      <c r="B256" s="67" t="n">
        <f aca="false">VLOOKUP($A256,BD_Items,2,0)</f>
        <v>0</v>
      </c>
      <c r="C256" s="67" t="n">
        <f aca="false">VLOOKUP($A256,BD_Items,3,0)</f>
        <v>0</v>
      </c>
      <c r="D256" s="68" t="n">
        <f aca="false">VLOOKUP($A256,BD_Items,4,0)</f>
        <v>0</v>
      </c>
      <c r="E256" s="68" t="n">
        <f aca="false">VLOOKUP($A256,BD_Items,5,0)</f>
        <v>0</v>
      </c>
      <c r="F256" s="68" t="n">
        <f aca="false">VLOOKUP($A256,BD_Items,6,0)</f>
        <v>0</v>
      </c>
      <c r="G256" s="68" t="n">
        <f aca="false">VLOOKUP($A256,BD_Items,7,0)</f>
        <v>0</v>
      </c>
      <c r="H256" s="69" t="n">
        <f aca="false">VLOOKUP($A256,BD_Items,8,0)*$N256</f>
        <v>0</v>
      </c>
      <c r="I256" s="69" t="n">
        <f aca="false">VLOOKUP($A256,BD_Items,9,0)*$N256</f>
        <v>0</v>
      </c>
      <c r="J256" s="69" t="n">
        <f aca="false">VLOOKUP($A256,BD_Items,10,0)*$N256</f>
        <v>0</v>
      </c>
      <c r="K256" s="69" t="n">
        <f aca="false">VLOOKUP($A256,BD_Items,11,0)*$N256</f>
        <v>0</v>
      </c>
      <c r="L256" s="69" t="n">
        <f aca="false">VLOOKUP($A256,BD_Items,12,0)*$N256</f>
        <v>60</v>
      </c>
      <c r="M256" s="70" t="n">
        <f aca="false">VLOOKUP($A256,BD_Items,13,0)</f>
        <v>1270</v>
      </c>
      <c r="N256" s="21" t="n">
        <v>2</v>
      </c>
      <c r="O256" s="71" t="n">
        <f aca="false">M256*N256</f>
        <v>2540</v>
      </c>
      <c r="P256" s="68" t="n">
        <f aca="false">(D256*$N256)*(1+$S$1)</f>
        <v>0</v>
      </c>
      <c r="Q256" s="68" t="n">
        <f aca="false">(E256*$N256)*(1+$S$1)</f>
        <v>0</v>
      </c>
      <c r="R256" s="68" t="n">
        <f aca="false">(F256*$N256)*(1+$S$1)</f>
        <v>0</v>
      </c>
      <c r="S256" s="68" t="n">
        <f aca="false">(G256*$N256)*(1+$S$1)</f>
        <v>0</v>
      </c>
      <c r="T256" s="55" t="str">
        <f aca="false">VLOOKUP($A256,BD_Items,20,0)</f>
        <v>na</v>
      </c>
    </row>
    <row r="257" customFormat="false" ht="12.8" hidden="false" customHeight="false" outlineLevel="0" collapsed="false">
      <c r="A257" s="20" t="s">
        <v>297</v>
      </c>
      <c r="B257" s="67" t="n">
        <f aca="false">VLOOKUP($A257,BD_Items,2,0)</f>
        <v>0</v>
      </c>
      <c r="C257" s="67" t="n">
        <f aca="false">VLOOKUP($A257,BD_Items,3,0)</f>
        <v>0</v>
      </c>
      <c r="D257" s="68" t="n">
        <f aca="false">VLOOKUP($A257,BD_Items,4,0)</f>
        <v>0</v>
      </c>
      <c r="E257" s="68" t="n">
        <f aca="false">VLOOKUP($A257,BD_Items,5,0)</f>
        <v>0</v>
      </c>
      <c r="F257" s="68" t="n">
        <f aca="false">VLOOKUP($A257,BD_Items,6,0)</f>
        <v>0</v>
      </c>
      <c r="G257" s="68" t="n">
        <f aca="false">VLOOKUP($A257,BD_Items,7,0)</f>
        <v>0</v>
      </c>
      <c r="H257" s="69" t="n">
        <f aca="false">VLOOKUP($A257,BD_Items,8,0)*$N257</f>
        <v>0</v>
      </c>
      <c r="I257" s="69" t="n">
        <f aca="false">VLOOKUP($A257,BD_Items,9,0)*$N257</f>
        <v>0</v>
      </c>
      <c r="J257" s="69" t="n">
        <f aca="false">VLOOKUP($A257,BD_Items,10,0)*$N257</f>
        <v>0</v>
      </c>
      <c r="K257" s="69" t="n">
        <f aca="false">VLOOKUP($A257,BD_Items,11,0)*$N257</f>
        <v>0</v>
      </c>
      <c r="L257" s="69" t="n">
        <f aca="false">VLOOKUP($A257,BD_Items,12,0)*$N257</f>
        <v>7</v>
      </c>
      <c r="M257" s="70" t="n">
        <f aca="false">VLOOKUP($A257,BD_Items,13,0)</f>
        <v>300</v>
      </c>
      <c r="N257" s="21" t="n">
        <v>1</v>
      </c>
      <c r="O257" s="71" t="n">
        <f aca="false">M257*N257</f>
        <v>300</v>
      </c>
      <c r="P257" s="68" t="n">
        <f aca="false">(D257*$N257)*(1+$S$1)</f>
        <v>0</v>
      </c>
      <c r="Q257" s="68" t="n">
        <f aca="false">(E257*$N257)*(1+$S$1)</f>
        <v>0</v>
      </c>
      <c r="R257" s="68" t="n">
        <f aca="false">(F257*$N257)*(1+$S$1)</f>
        <v>0</v>
      </c>
      <c r="S257" s="68" t="n">
        <f aca="false">(G257*$N257)*(1+$S$1)</f>
        <v>0</v>
      </c>
      <c r="T257" s="55" t="str">
        <f aca="false">VLOOKUP($A257,BD_Items,20,0)</f>
        <v>Magia Ofensiva: Destello</v>
      </c>
    </row>
    <row r="258" customFormat="false" ht="12.8" hidden="false" customHeight="false" outlineLevel="0" collapsed="false">
      <c r="A258" s="20" t="s">
        <v>220</v>
      </c>
      <c r="B258" s="67" t="n">
        <v>0</v>
      </c>
      <c r="C258" s="67" t="n">
        <v>0</v>
      </c>
      <c r="D258" s="68" t="n">
        <f aca="false">VLOOKUP($A258,BD_Items,4,0)</f>
        <v>0</v>
      </c>
      <c r="E258" s="68" t="n">
        <f aca="false">VLOOKUP($A258,BD_Items,5,0)</f>
        <v>26</v>
      </c>
      <c r="F258" s="68" t="n">
        <f aca="false">VLOOKUP($A258,BD_Items,6,0)</f>
        <v>0</v>
      </c>
      <c r="G258" s="68" t="n">
        <f aca="false">VLOOKUP($A258,BD_Items,7,0)</f>
        <v>0</v>
      </c>
      <c r="H258" s="69" t="n">
        <f aca="false">VLOOKUP($A258,BD_Items,8,0)*$N258</f>
        <v>0</v>
      </c>
      <c r="I258" s="69" t="n">
        <f aca="false">VLOOKUP($A258,BD_Items,9,0)*$N258</f>
        <v>0</v>
      </c>
      <c r="J258" s="69" t="n">
        <f aca="false">VLOOKUP($A258,BD_Items,10,0)*$N258</f>
        <v>0</v>
      </c>
      <c r="K258" s="69" t="n">
        <f aca="false">VLOOKUP($A258,BD_Items,11,0)*$N258</f>
        <v>0</v>
      </c>
      <c r="L258" s="69" t="n">
        <f aca="false">VLOOKUP($A258,BD_Items,12,0)*$N258</f>
        <v>0</v>
      </c>
      <c r="M258" s="70" t="n">
        <f aca="false">VLOOKUP($A258,BD_Items,13,0)</f>
        <v>2300</v>
      </c>
      <c r="N258" s="21" t="n">
        <v>3</v>
      </c>
      <c r="O258" s="71" t="n">
        <f aca="false">M258*N258</f>
        <v>6900</v>
      </c>
      <c r="P258" s="68" t="n">
        <f aca="false">(D258*$N258)*(1+$S$1)</f>
        <v>0</v>
      </c>
      <c r="Q258" s="68" t="n">
        <f aca="false">(E258*$N258)*(1+$S$1)</f>
        <v>101.4</v>
      </c>
      <c r="R258" s="68" t="n">
        <f aca="false">(F258*$N258)*(1+$S$1)</f>
        <v>0</v>
      </c>
      <c r="S258" s="68" t="n">
        <f aca="false">(G258*$N258)*(1+$S$1)</f>
        <v>0</v>
      </c>
      <c r="T258" s="55" t="str">
        <f aca="false">VLOOKUP($A258,BD_Items,20,0)</f>
        <v>na</v>
      </c>
    </row>
    <row r="259" customFormat="false" ht="12.8" hidden="false" customHeight="false" outlineLevel="0" collapsed="false">
      <c r="A259" s="63" t="s">
        <v>341</v>
      </c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6" t="n">
        <v>12285</v>
      </c>
      <c r="N259" s="65"/>
      <c r="O259" s="66" t="n">
        <f aca="false">SUM(O260:O261)</f>
        <v>13800</v>
      </c>
      <c r="P259" s="78" t="n">
        <f aca="false">SUM(P260:P261)</f>
        <v>0</v>
      </c>
      <c r="Q259" s="78" t="n">
        <f aca="false">SUM(Q260:Q261)</f>
        <v>202.8</v>
      </c>
      <c r="R259" s="78" t="n">
        <f aca="false">SUM(R260:R261)</f>
        <v>0</v>
      </c>
      <c r="S259" s="78" t="n">
        <f aca="false">SUM(S260:S261)</f>
        <v>0</v>
      </c>
      <c r="T259" s="46"/>
    </row>
    <row r="260" customFormat="false" ht="12.8" hidden="false" customHeight="false" outlineLevel="0" collapsed="false">
      <c r="A260" s="20" t="s">
        <v>304</v>
      </c>
      <c r="B260" s="67" t="n">
        <v>0</v>
      </c>
      <c r="C260" s="67" t="n">
        <v>0</v>
      </c>
      <c r="D260" s="68" t="n">
        <f aca="false">VLOOKUP($A260,BD_Items,4,0)</f>
        <v>0</v>
      </c>
      <c r="E260" s="68" t="n">
        <f aca="false">VLOOKUP($A260,BD_Items,5,0)</f>
        <v>0</v>
      </c>
      <c r="F260" s="68" t="n">
        <f aca="false">VLOOKUP($A260,BD_Items,6,0)</f>
        <v>0</v>
      </c>
      <c r="G260" s="68" t="n">
        <f aca="false">VLOOKUP($A260,BD_Items,7,0)</f>
        <v>0</v>
      </c>
      <c r="H260" s="69" t="n">
        <f aca="false">VLOOKUP($A260,BD_Items,8,0)*$N260</f>
        <v>0</v>
      </c>
      <c r="I260" s="69" t="n">
        <f aca="false">VLOOKUP($A260,BD_Items,9,0)*$N260</f>
        <v>0</v>
      </c>
      <c r="J260" s="69" t="n">
        <f aca="false">VLOOKUP($A260,BD_Items,10,0)*$N260</f>
        <v>0</v>
      </c>
      <c r="K260" s="69" t="n">
        <f aca="false">VLOOKUP($A260,BD_Items,11,0)*$N260</f>
        <v>0</v>
      </c>
      <c r="L260" s="69" t="n">
        <f aca="false">VLOOKUP($A260,BD_Items,12,0)*$N260</f>
        <v>0</v>
      </c>
      <c r="M260" s="70" t="n">
        <f aca="false">VLOOKUP($A260,BD_Items,13,0)</f>
        <v>0</v>
      </c>
      <c r="N260" s="21" t="n">
        <v>2</v>
      </c>
      <c r="O260" s="71" t="n">
        <f aca="false">M260*N260</f>
        <v>0</v>
      </c>
      <c r="P260" s="68" t="n">
        <f aca="false">(D260*$N260)*(1+$S$1)</f>
        <v>0</v>
      </c>
      <c r="Q260" s="68" t="n">
        <f aca="false">(E260*$N260)*(1+$S$1)</f>
        <v>0</v>
      </c>
      <c r="R260" s="68" t="n">
        <f aca="false">(F260*$N260)*(1+$S$1)</f>
        <v>0</v>
      </c>
      <c r="S260" s="68" t="n">
        <f aca="false">(G260*$N260)*(1+$S$1)</f>
        <v>0</v>
      </c>
      <c r="T260" s="55" t="str">
        <f aca="false">VLOOKUP($A260,BD_Items,20,0)</f>
        <v>na</v>
      </c>
    </row>
    <row r="261" customFormat="false" ht="12.8" hidden="false" customHeight="false" outlineLevel="0" collapsed="false">
      <c r="A261" s="20" t="s">
        <v>220</v>
      </c>
      <c r="B261" s="67" t="n">
        <v>0</v>
      </c>
      <c r="C261" s="67" t="n">
        <v>0</v>
      </c>
      <c r="D261" s="68" t="n">
        <f aca="false">VLOOKUP($A261,BD_Items,4,0)</f>
        <v>0</v>
      </c>
      <c r="E261" s="68" t="n">
        <f aca="false">VLOOKUP($A261,BD_Items,5,0)</f>
        <v>26</v>
      </c>
      <c r="F261" s="68" t="n">
        <f aca="false">VLOOKUP($A261,BD_Items,6,0)</f>
        <v>0</v>
      </c>
      <c r="G261" s="68" t="n">
        <f aca="false">VLOOKUP($A261,BD_Items,7,0)</f>
        <v>0</v>
      </c>
      <c r="H261" s="69" t="n">
        <f aca="false">VLOOKUP($A261,BD_Items,8,0)*$N261</f>
        <v>0</v>
      </c>
      <c r="I261" s="69" t="n">
        <f aca="false">VLOOKUP($A261,BD_Items,9,0)*$N261</f>
        <v>0</v>
      </c>
      <c r="J261" s="69" t="n">
        <f aca="false">VLOOKUP($A261,BD_Items,10,0)*$N261</f>
        <v>0</v>
      </c>
      <c r="K261" s="69" t="n">
        <f aca="false">VLOOKUP($A261,BD_Items,11,0)*$N261</f>
        <v>0</v>
      </c>
      <c r="L261" s="69" t="n">
        <f aca="false">VLOOKUP($A261,BD_Items,12,0)*$N261</f>
        <v>0</v>
      </c>
      <c r="M261" s="70" t="n">
        <f aca="false">VLOOKUP($A261,BD_Items,13,0)</f>
        <v>2300</v>
      </c>
      <c r="N261" s="21" t="n">
        <v>6</v>
      </c>
      <c r="O261" s="71" t="n">
        <f aca="false">M261*N261</f>
        <v>13800</v>
      </c>
      <c r="P261" s="68" t="n">
        <f aca="false">(D261*$N261)*(1+$S$1)</f>
        <v>0</v>
      </c>
      <c r="Q261" s="68" t="n">
        <f aca="false">(E261*$N261)*(1+$S$1)</f>
        <v>202.8</v>
      </c>
      <c r="R261" s="68" t="n">
        <f aca="false">(F261*$N261)*(1+$S$1)</f>
        <v>0</v>
      </c>
      <c r="S261" s="68" t="n">
        <f aca="false">(G261*$N261)*(1+$S$1)</f>
        <v>0</v>
      </c>
      <c r="T261" s="55"/>
    </row>
    <row r="262" customFormat="false" ht="12.8" hidden="false" customHeight="false" outlineLevel="0" collapsed="false">
      <c r="A262" s="52" t="s">
        <v>311</v>
      </c>
      <c r="B262" s="52"/>
      <c r="C262" s="52"/>
      <c r="D262" s="52"/>
      <c r="E262" s="52"/>
      <c r="F262" s="52"/>
      <c r="G262" s="52"/>
      <c r="H262" s="52" t="n">
        <f aca="false">SUM(H247:H261)*(1+$S$1)+15</f>
        <v>69.6</v>
      </c>
      <c r="I262" s="52" t="n">
        <f aca="false">SUM(I247:I261)*(1+$S$1)+15</f>
        <v>81.3</v>
      </c>
      <c r="J262" s="52" t="n">
        <f aca="false">SUM(J247:J261)*(1+$S$1)+15</f>
        <v>69.6</v>
      </c>
      <c r="K262" s="52" t="n">
        <f aca="false">SUM(K247:K261)*(1+$S$1)+15</f>
        <v>93</v>
      </c>
      <c r="L262" s="52" t="n">
        <f aca="false">SUM(L247:L261)*(1+$S$1)+15</f>
        <v>102.1</v>
      </c>
      <c r="M262" s="72" t="n">
        <f aca="false">M246+M249+M259</f>
        <v>58600</v>
      </c>
      <c r="N262" s="52"/>
      <c r="O262" s="72" t="n">
        <f aca="false">O246+O249+O259</f>
        <v>60850</v>
      </c>
      <c r="P262" s="73" t="n">
        <f aca="false">P246+P249+P259</f>
        <v>136.5</v>
      </c>
      <c r="Q262" s="73" t="n">
        <f aca="false">Q246+Q249+Q259</f>
        <v>473.2</v>
      </c>
      <c r="R262" s="73" t="n">
        <f aca="false">R246+R249+R259</f>
        <v>136.5</v>
      </c>
      <c r="S262" s="73" t="n">
        <f aca="false">S246+S249+S259</f>
        <v>136.5</v>
      </c>
      <c r="T262" s="59" t="n">
        <f aca="false">(P262+Q262+R262+S262)/4</f>
        <v>220.675</v>
      </c>
    </row>
    <row r="296" customFormat="false" ht="12.8" hidden="false" customHeight="false" outlineLevel="0" collapsed="false">
      <c r="I296" s="12" t="s">
        <v>342</v>
      </c>
    </row>
    <row r="304" customFormat="false" ht="12.8" hidden="false" customHeight="false" outlineLevel="0" collapsed="false">
      <c r="P304" s="18" t="s">
        <v>343</v>
      </c>
      <c r="Q304" s="18" t="s">
        <v>344</v>
      </c>
      <c r="R304" s="18" t="s">
        <v>345</v>
      </c>
    </row>
    <row r="305" customFormat="false" ht="12.8" hidden="false" customHeight="false" outlineLevel="0" collapsed="false">
      <c r="P305" s="29" t="n">
        <v>1</v>
      </c>
      <c r="Q305" s="55" t="n">
        <v>200</v>
      </c>
      <c r="R305" s="29" t="n">
        <v>200</v>
      </c>
    </row>
    <row r="306" customFormat="false" ht="12.8" hidden="false" customHeight="false" outlineLevel="0" collapsed="false">
      <c r="P306" s="29" t="n">
        <v>2</v>
      </c>
      <c r="Q306" s="55" t="n">
        <v>205</v>
      </c>
      <c r="R306" s="29" t="n">
        <f aca="false">Q306+R305</f>
        <v>405</v>
      </c>
    </row>
    <row r="307" customFormat="false" ht="12.8" hidden="false" customHeight="false" outlineLevel="0" collapsed="false">
      <c r="P307" s="29" t="n">
        <v>3</v>
      </c>
      <c r="Q307" s="55" t="n">
        <v>210</v>
      </c>
      <c r="R307" s="29" t="n">
        <f aca="false">Q307+R306</f>
        <v>615</v>
      </c>
    </row>
    <row r="308" customFormat="false" ht="12.8" hidden="false" customHeight="false" outlineLevel="0" collapsed="false">
      <c r="P308" s="29" t="n">
        <v>4</v>
      </c>
      <c r="Q308" s="55" t="n">
        <v>215</v>
      </c>
      <c r="R308" s="29" t="n">
        <f aca="false">Q308+R307</f>
        <v>830</v>
      </c>
    </row>
    <row r="309" customFormat="false" ht="12.8" hidden="false" customHeight="false" outlineLevel="0" collapsed="false">
      <c r="P309" s="29" t="n">
        <v>5</v>
      </c>
      <c r="Q309" s="55" t="n">
        <v>220</v>
      </c>
      <c r="R309" s="29" t="n">
        <f aca="false">Q309+R308</f>
        <v>1050</v>
      </c>
    </row>
    <row r="310" customFormat="false" ht="12.8" hidden="false" customHeight="false" outlineLevel="0" collapsed="false">
      <c r="P310" s="29" t="n">
        <v>6</v>
      </c>
      <c r="Q310" s="55" t="n">
        <v>225</v>
      </c>
      <c r="R310" s="29" t="n">
        <f aca="false">Q310+R309</f>
        <v>1275</v>
      </c>
    </row>
    <row r="311" customFormat="false" ht="12.8" hidden="false" customHeight="false" outlineLevel="0" collapsed="false">
      <c r="P311" s="29" t="n">
        <v>7</v>
      </c>
      <c r="Q311" s="55" t="n">
        <v>230</v>
      </c>
      <c r="R311" s="29" t="n">
        <f aca="false">Q311+R310</f>
        <v>1505</v>
      </c>
    </row>
    <row r="312" customFormat="false" ht="12.8" hidden="false" customHeight="false" outlineLevel="0" collapsed="false">
      <c r="P312" s="29" t="n">
        <v>8</v>
      </c>
      <c r="Q312" s="55" t="n">
        <v>235</v>
      </c>
      <c r="R312" s="29" t="n">
        <f aca="false">Q312+R311</f>
        <v>1740</v>
      </c>
    </row>
    <row r="313" customFormat="false" ht="12.8" hidden="false" customHeight="false" outlineLevel="0" collapsed="false">
      <c r="P313" s="29" t="n">
        <v>9</v>
      </c>
      <c r="Q313" s="55" t="n">
        <v>240</v>
      </c>
      <c r="R313" s="29" t="n">
        <f aca="false">Q313+R312</f>
        <v>1980</v>
      </c>
    </row>
    <row r="314" customFormat="false" ht="12.8" hidden="false" customHeight="false" outlineLevel="0" collapsed="false">
      <c r="P314" s="29" t="n">
        <v>10</v>
      </c>
      <c r="Q314" s="28" t="n">
        <v>250</v>
      </c>
      <c r="R314" s="29" t="n">
        <f aca="false">Q314+R313</f>
        <v>2230</v>
      </c>
    </row>
    <row r="315" customFormat="false" ht="12.8" hidden="false" customHeight="false" outlineLevel="0" collapsed="false">
      <c r="P315" s="29" t="n">
        <v>11</v>
      </c>
      <c r="Q315" s="55" t="n">
        <v>260</v>
      </c>
      <c r="R315" s="29" t="n">
        <f aca="false">Q315+R314</f>
        <v>2490</v>
      </c>
    </row>
    <row r="316" customFormat="false" ht="12.8" hidden="false" customHeight="false" outlineLevel="0" collapsed="false">
      <c r="P316" s="29" t="n">
        <v>12</v>
      </c>
      <c r="Q316" s="55" t="n">
        <v>270</v>
      </c>
      <c r="R316" s="29" t="n">
        <f aca="false">Q316+R315</f>
        <v>2760</v>
      </c>
    </row>
    <row r="317" customFormat="false" ht="12.8" hidden="false" customHeight="false" outlineLevel="0" collapsed="false">
      <c r="P317" s="29" t="n">
        <v>13</v>
      </c>
      <c r="Q317" s="55" t="n">
        <v>280</v>
      </c>
      <c r="R317" s="29" t="n">
        <f aca="false">Q317+R316</f>
        <v>3040</v>
      </c>
    </row>
    <row r="318" customFormat="false" ht="12.8" hidden="false" customHeight="false" outlineLevel="0" collapsed="false">
      <c r="P318" s="29" t="n">
        <v>14</v>
      </c>
      <c r="Q318" s="55" t="n">
        <v>290</v>
      </c>
      <c r="R318" s="29" t="n">
        <f aca="false">Q318+R317</f>
        <v>3330</v>
      </c>
    </row>
    <row r="319" customFormat="false" ht="12.8" hidden="false" customHeight="false" outlineLevel="0" collapsed="false">
      <c r="P319" s="29" t="n">
        <v>15</v>
      </c>
      <c r="Q319" s="55" t="n">
        <v>300</v>
      </c>
      <c r="R319" s="29" t="n">
        <f aca="false">Q319+R318</f>
        <v>3630</v>
      </c>
    </row>
    <row r="320" customFormat="false" ht="12.8" hidden="false" customHeight="false" outlineLevel="0" collapsed="false">
      <c r="P320" s="29" t="n">
        <v>16</v>
      </c>
      <c r="Q320" s="55" t="n">
        <v>310</v>
      </c>
      <c r="R320" s="29" t="n">
        <f aca="false">Q320+R319</f>
        <v>3940</v>
      </c>
    </row>
    <row r="321" customFormat="false" ht="12.8" hidden="false" customHeight="false" outlineLevel="0" collapsed="false">
      <c r="P321" s="29" t="n">
        <v>17</v>
      </c>
      <c r="Q321" s="55" t="n">
        <v>320</v>
      </c>
      <c r="R321" s="29" t="n">
        <f aca="false">Q321+R320</f>
        <v>4260</v>
      </c>
    </row>
    <row r="322" customFormat="false" ht="12.8" hidden="false" customHeight="false" outlineLevel="0" collapsed="false">
      <c r="P322" s="29" t="n">
        <v>18</v>
      </c>
      <c r="Q322" s="55" t="n">
        <v>330</v>
      </c>
      <c r="R322" s="29" t="n">
        <f aca="false">Q322+R321</f>
        <v>4590</v>
      </c>
    </row>
    <row r="323" customFormat="false" ht="12.8" hidden="false" customHeight="false" outlineLevel="0" collapsed="false">
      <c r="P323" s="29" t="n">
        <v>19</v>
      </c>
      <c r="Q323" s="55" t="n">
        <v>340</v>
      </c>
      <c r="R323" s="29" t="n">
        <f aca="false">Q323+R322</f>
        <v>4930</v>
      </c>
    </row>
    <row r="324" customFormat="false" ht="12.8" hidden="false" customHeight="false" outlineLevel="0" collapsed="false">
      <c r="P324" s="29" t="n">
        <v>20</v>
      </c>
      <c r="Q324" s="55" t="n">
        <v>350</v>
      </c>
      <c r="R324" s="29" t="n">
        <f aca="false">Q324+R323</f>
        <v>5280</v>
      </c>
    </row>
    <row r="325" customFormat="false" ht="12.8" hidden="false" customHeight="false" outlineLevel="0" collapsed="false">
      <c r="P325" s="29" t="n">
        <v>21</v>
      </c>
      <c r="Q325" s="55" t="n">
        <v>360</v>
      </c>
      <c r="R325" s="29" t="n">
        <f aca="false">Q325+R324</f>
        <v>5640</v>
      </c>
    </row>
    <row r="326" customFormat="false" ht="12.8" hidden="false" customHeight="false" outlineLevel="0" collapsed="false">
      <c r="P326" s="29" t="n">
        <v>22</v>
      </c>
      <c r="Q326" s="55" t="n">
        <v>370</v>
      </c>
      <c r="R326" s="29" t="n">
        <f aca="false">Q326+R325</f>
        <v>6010</v>
      </c>
    </row>
    <row r="327" customFormat="false" ht="12.8" hidden="false" customHeight="false" outlineLevel="0" collapsed="false">
      <c r="P327" s="29" t="n">
        <v>23</v>
      </c>
      <c r="Q327" s="55" t="n">
        <v>380</v>
      </c>
      <c r="R327" s="29" t="n">
        <f aca="false">Q327+R326</f>
        <v>6390</v>
      </c>
    </row>
    <row r="328" customFormat="false" ht="12.8" hidden="false" customHeight="false" outlineLevel="0" collapsed="false">
      <c r="P328" s="29" t="n">
        <v>24</v>
      </c>
      <c r="Q328" s="55" t="n">
        <v>390</v>
      </c>
      <c r="R328" s="29" t="n">
        <f aca="false">Q328+R327</f>
        <v>6780</v>
      </c>
    </row>
    <row r="329" customFormat="false" ht="12.8" hidden="false" customHeight="false" outlineLevel="0" collapsed="false">
      <c r="P329" s="29" t="n">
        <v>25</v>
      </c>
      <c r="Q329" s="55" t="n">
        <v>400</v>
      </c>
      <c r="R329" s="29" t="n">
        <f aca="false">Q329+R328</f>
        <v>7180</v>
      </c>
    </row>
    <row r="330" customFormat="false" ht="12.8" hidden="false" customHeight="false" outlineLevel="0" collapsed="false">
      <c r="P330" s="29" t="n">
        <v>26</v>
      </c>
      <c r="Q330" s="55" t="n">
        <v>410</v>
      </c>
      <c r="R330" s="29" t="n">
        <f aca="false">Q330+R329</f>
        <v>7590</v>
      </c>
    </row>
    <row r="331" customFormat="false" ht="12.8" hidden="false" customHeight="false" outlineLevel="0" collapsed="false">
      <c r="P331" s="29" t="n">
        <v>27</v>
      </c>
      <c r="Q331" s="55" t="n">
        <v>420</v>
      </c>
      <c r="R331" s="29" t="n">
        <f aca="false">Q331+R330</f>
        <v>8010</v>
      </c>
    </row>
    <row r="332" customFormat="false" ht="12.8" hidden="false" customHeight="false" outlineLevel="0" collapsed="false">
      <c r="P332" s="29" t="n">
        <v>28</v>
      </c>
      <c r="Q332" s="55" t="n">
        <v>430</v>
      </c>
      <c r="R332" s="29" t="n">
        <f aca="false">Q332+R331</f>
        <v>8440</v>
      </c>
    </row>
    <row r="333" customFormat="false" ht="12.8" hidden="false" customHeight="false" outlineLevel="0" collapsed="false">
      <c r="P333" s="29" t="n">
        <v>29</v>
      </c>
      <c r="Q333" s="55" t="n">
        <v>440</v>
      </c>
      <c r="R333" s="29" t="n">
        <f aca="false">Q333+R332</f>
        <v>8880</v>
      </c>
    </row>
    <row r="334" customFormat="false" ht="12.8" hidden="false" customHeight="false" outlineLevel="0" collapsed="false">
      <c r="P334" s="29" t="n">
        <v>30</v>
      </c>
      <c r="Q334" s="28" t="n">
        <v>445</v>
      </c>
      <c r="R334" s="29" t="n">
        <f aca="false">Q334+R333</f>
        <v>9325</v>
      </c>
    </row>
    <row r="335" customFormat="false" ht="12.8" hidden="false" customHeight="false" outlineLevel="0" collapsed="false">
      <c r="P335" s="29" t="n">
        <v>31</v>
      </c>
      <c r="Q335" s="55" t="n">
        <v>450</v>
      </c>
      <c r="R335" s="29" t="n">
        <f aca="false">Q335+R334</f>
        <v>9775</v>
      </c>
    </row>
    <row r="336" customFormat="false" ht="12.8" hidden="false" customHeight="false" outlineLevel="0" collapsed="false">
      <c r="P336" s="29" t="n">
        <v>32</v>
      </c>
      <c r="Q336" s="55" t="n">
        <v>455</v>
      </c>
      <c r="R336" s="29" t="n">
        <f aca="false">Q336+R335</f>
        <v>10230</v>
      </c>
    </row>
    <row r="337" customFormat="false" ht="12.8" hidden="false" customHeight="false" outlineLevel="0" collapsed="false">
      <c r="P337" s="29" t="n">
        <v>33</v>
      </c>
      <c r="Q337" s="55" t="n">
        <v>460</v>
      </c>
      <c r="R337" s="29" t="n">
        <f aca="false">Q337+R336</f>
        <v>10690</v>
      </c>
    </row>
    <row r="338" customFormat="false" ht="12.8" hidden="false" customHeight="false" outlineLevel="0" collapsed="false">
      <c r="P338" s="29" t="n">
        <v>34</v>
      </c>
      <c r="Q338" s="55" t="n">
        <v>465</v>
      </c>
      <c r="R338" s="29" t="n">
        <f aca="false">Q338+R337</f>
        <v>11155</v>
      </c>
    </row>
    <row r="339" customFormat="false" ht="12.8" hidden="false" customHeight="false" outlineLevel="0" collapsed="false">
      <c r="P339" s="29" t="n">
        <v>35</v>
      </c>
      <c r="Q339" s="55" t="n">
        <v>470</v>
      </c>
      <c r="R339" s="29" t="n">
        <f aca="false">Q339+R338</f>
        <v>11625</v>
      </c>
    </row>
    <row r="340" customFormat="false" ht="12.8" hidden="false" customHeight="false" outlineLevel="0" collapsed="false">
      <c r="P340" s="29" t="n">
        <v>36</v>
      </c>
      <c r="Q340" s="55" t="n">
        <v>475</v>
      </c>
      <c r="R340" s="29" t="n">
        <f aca="false">Q340+R339</f>
        <v>12100</v>
      </c>
    </row>
    <row r="341" customFormat="false" ht="12.8" hidden="false" customHeight="false" outlineLevel="0" collapsed="false">
      <c r="P341" s="29" t="n">
        <v>37</v>
      </c>
      <c r="Q341" s="55" t="n">
        <v>480</v>
      </c>
      <c r="R341" s="29" t="n">
        <f aca="false">Q341+R340</f>
        <v>12580</v>
      </c>
    </row>
    <row r="342" customFormat="false" ht="12.8" hidden="false" customHeight="false" outlineLevel="0" collapsed="false">
      <c r="P342" s="29" t="n">
        <v>38</v>
      </c>
      <c r="Q342" s="55" t="n">
        <v>485</v>
      </c>
      <c r="R342" s="29" t="n">
        <f aca="false">Q342+R341</f>
        <v>13065</v>
      </c>
    </row>
    <row r="343" customFormat="false" ht="12.8" hidden="false" customHeight="false" outlineLevel="0" collapsed="false">
      <c r="P343" s="29" t="n">
        <v>39</v>
      </c>
      <c r="Q343" s="55" t="n">
        <v>490</v>
      </c>
      <c r="R343" s="29" t="n">
        <f aca="false">Q343+R342</f>
        <v>13555</v>
      </c>
    </row>
    <row r="344" customFormat="false" ht="12.8" hidden="false" customHeight="false" outlineLevel="0" collapsed="false">
      <c r="P344" s="29" t="n">
        <v>40</v>
      </c>
      <c r="Q344" s="29" t="n">
        <v>495</v>
      </c>
      <c r="R344" s="29" t="n">
        <f aca="false">Q344+R343</f>
        <v>14050</v>
      </c>
    </row>
    <row r="345" customFormat="false" ht="12.8" hidden="false" customHeight="false" outlineLevel="0" collapsed="false">
      <c r="P345" s="29" t="n">
        <v>41</v>
      </c>
      <c r="Q345" s="55" t="n">
        <v>500</v>
      </c>
      <c r="R345" s="29" t="n">
        <f aca="false">Q345+R344</f>
        <v>14550</v>
      </c>
    </row>
    <row r="346" customFormat="false" ht="12.8" hidden="false" customHeight="false" outlineLevel="0" collapsed="false">
      <c r="P346" s="29" t="n">
        <v>42</v>
      </c>
      <c r="Q346" s="55" t="n">
        <v>505</v>
      </c>
      <c r="R346" s="29" t="n">
        <f aca="false">Q346+R345</f>
        <v>15055</v>
      </c>
    </row>
    <row r="347" customFormat="false" ht="12.8" hidden="false" customHeight="false" outlineLevel="0" collapsed="false">
      <c r="P347" s="29" t="n">
        <v>43</v>
      </c>
      <c r="Q347" s="55" t="n">
        <v>510</v>
      </c>
      <c r="R347" s="29" t="n">
        <f aca="false">Q347+R346</f>
        <v>15565</v>
      </c>
    </row>
    <row r="348" customFormat="false" ht="12.8" hidden="false" customHeight="false" outlineLevel="0" collapsed="false">
      <c r="P348" s="29" t="n">
        <v>44</v>
      </c>
      <c r="Q348" s="55" t="n">
        <v>515</v>
      </c>
      <c r="R348" s="29" t="n">
        <f aca="false">Q348+R347</f>
        <v>16080</v>
      </c>
    </row>
    <row r="349" customFormat="false" ht="12.8" hidden="false" customHeight="false" outlineLevel="0" collapsed="false">
      <c r="P349" s="29" t="n">
        <v>45</v>
      </c>
      <c r="Q349" s="55" t="n">
        <v>520</v>
      </c>
      <c r="R349" s="29" t="n">
        <f aca="false">Q349+R348</f>
        <v>16600</v>
      </c>
    </row>
    <row r="350" customFormat="false" ht="12.8" hidden="false" customHeight="false" outlineLevel="0" collapsed="false">
      <c r="P350" s="29" t="n">
        <v>46</v>
      </c>
      <c r="Q350" s="55" t="n">
        <v>525</v>
      </c>
      <c r="R350" s="29" t="n">
        <f aca="false">Q350+R349</f>
        <v>17125</v>
      </c>
    </row>
    <row r="351" customFormat="false" ht="12.8" hidden="false" customHeight="false" outlineLevel="0" collapsed="false">
      <c r="P351" s="29" t="n">
        <v>47</v>
      </c>
      <c r="Q351" s="55" t="n">
        <v>530</v>
      </c>
      <c r="R351" s="29" t="n">
        <f aca="false">Q351+R350</f>
        <v>17655</v>
      </c>
    </row>
    <row r="352" customFormat="false" ht="12.8" hidden="false" customHeight="false" outlineLevel="0" collapsed="false">
      <c r="P352" s="29" t="n">
        <v>48</v>
      </c>
      <c r="Q352" s="55" t="n">
        <v>535</v>
      </c>
      <c r="R352" s="29" t="n">
        <f aca="false">Q352+R351</f>
        <v>18190</v>
      </c>
    </row>
    <row r="353" customFormat="false" ht="12.8" hidden="false" customHeight="false" outlineLevel="0" collapsed="false">
      <c r="P353" s="29" t="n">
        <v>49</v>
      </c>
      <c r="Q353" s="28" t="n">
        <v>540</v>
      </c>
      <c r="R353" s="29" t="n">
        <f aca="false">Q353+R352</f>
        <v>18730</v>
      </c>
    </row>
    <row r="354" customFormat="false" ht="12.8" hidden="false" customHeight="false" outlineLevel="0" collapsed="false">
      <c r="P354" s="29" t="n">
        <v>50</v>
      </c>
      <c r="Q354" s="55" t="n">
        <v>540</v>
      </c>
      <c r="R354" s="29" t="n">
        <f aca="false">Q354+R353</f>
        <v>19270</v>
      </c>
    </row>
    <row r="355" customFormat="false" ht="12.8" hidden="false" customHeight="false" outlineLevel="0" collapsed="false">
      <c r="P355" s="29" t="n">
        <v>51</v>
      </c>
      <c r="Q355" s="55" t="n">
        <v>540</v>
      </c>
      <c r="R355" s="29" t="n">
        <f aca="false">Q355+R354</f>
        <v>19810</v>
      </c>
    </row>
    <row r="356" customFormat="false" ht="12.8" hidden="false" customHeight="false" outlineLevel="0" collapsed="false">
      <c r="P356" s="29" t="n">
        <v>52</v>
      </c>
      <c r="Q356" s="55" t="n">
        <v>540</v>
      </c>
      <c r="R356" s="29" t="n">
        <f aca="false">Q356+R355</f>
        <v>20350</v>
      </c>
    </row>
    <row r="357" customFormat="false" ht="12.8" hidden="false" customHeight="false" outlineLevel="0" collapsed="false">
      <c r="P357" s="29" t="n">
        <v>53</v>
      </c>
      <c r="Q357" s="55" t="n">
        <v>540</v>
      </c>
      <c r="R357" s="29" t="n">
        <f aca="false">Q357+R356</f>
        <v>20890</v>
      </c>
    </row>
    <row r="358" customFormat="false" ht="12.8" hidden="false" customHeight="false" outlineLevel="0" collapsed="false">
      <c r="P358" s="29" t="n">
        <v>54</v>
      </c>
      <c r="Q358" s="28" t="n">
        <v>545</v>
      </c>
      <c r="R358" s="29" t="n">
        <f aca="false">Q358+R357</f>
        <v>21435</v>
      </c>
    </row>
    <row r="359" customFormat="false" ht="12.8" hidden="false" customHeight="false" outlineLevel="0" collapsed="false">
      <c r="P359" s="29" t="n">
        <v>55</v>
      </c>
      <c r="Q359" s="55" t="n">
        <v>545</v>
      </c>
      <c r="R359" s="29" t="n">
        <f aca="false">Q359+R358</f>
        <v>21980</v>
      </c>
    </row>
    <row r="360" customFormat="false" ht="12.8" hidden="false" customHeight="false" outlineLevel="0" collapsed="false">
      <c r="P360" s="29" t="n">
        <v>56</v>
      </c>
      <c r="Q360" s="55" t="n">
        <v>545</v>
      </c>
      <c r="R360" s="29" t="n">
        <f aca="false">Q360+R359</f>
        <v>22525</v>
      </c>
    </row>
    <row r="361" customFormat="false" ht="12.8" hidden="false" customHeight="false" outlineLevel="0" collapsed="false">
      <c r="P361" s="29" t="n">
        <v>57</v>
      </c>
      <c r="Q361" s="55" t="n">
        <v>545</v>
      </c>
      <c r="R361" s="29" t="n">
        <f aca="false">Q361+R360</f>
        <v>23070</v>
      </c>
    </row>
    <row r="362" customFormat="false" ht="12.8" hidden="false" customHeight="false" outlineLevel="0" collapsed="false">
      <c r="P362" s="29" t="n">
        <v>58</v>
      </c>
      <c r="Q362" s="55" t="n">
        <v>545</v>
      </c>
      <c r="R362" s="29" t="n">
        <f aca="false">Q362+R361</f>
        <v>23615</v>
      </c>
    </row>
    <row r="363" customFormat="false" ht="12.8" hidden="false" customHeight="false" outlineLevel="0" collapsed="false">
      <c r="P363" s="79" t="n">
        <v>59</v>
      </c>
      <c r="Q363" s="80" t="n">
        <v>550</v>
      </c>
      <c r="R363" s="79" t="n">
        <f aca="false">Q363+R362</f>
        <v>24165</v>
      </c>
      <c r="S363" s="81"/>
    </row>
    <row r="364" customFormat="false" ht="12.8" hidden="false" customHeight="false" outlineLevel="0" collapsed="false">
      <c r="P364" s="29" t="n">
        <v>60</v>
      </c>
      <c r="Q364" s="29" t="n">
        <v>550</v>
      </c>
      <c r="R364" s="29" t="n">
        <f aca="false">Q364+R363</f>
        <v>24715</v>
      </c>
    </row>
    <row r="365" customFormat="false" ht="12.8" hidden="false" customHeight="false" outlineLevel="0" collapsed="false">
      <c r="P365" s="29" t="n">
        <v>61</v>
      </c>
      <c r="Q365" s="29" t="n">
        <v>550</v>
      </c>
      <c r="R365" s="29" t="n">
        <f aca="false">Q365+R364</f>
        <v>25265</v>
      </c>
    </row>
    <row r="366" customFormat="false" ht="12.8" hidden="false" customHeight="false" outlineLevel="0" collapsed="false">
      <c r="P366" s="29" t="n">
        <v>62</v>
      </c>
      <c r="Q366" s="29" t="n">
        <v>550</v>
      </c>
      <c r="R366" s="29" t="n">
        <f aca="false">Q366+R365</f>
        <v>25815</v>
      </c>
    </row>
    <row r="367" customFormat="false" ht="12.8" hidden="false" customHeight="false" outlineLevel="0" collapsed="false">
      <c r="P367" s="29" t="n">
        <v>63</v>
      </c>
      <c r="Q367" s="29" t="n">
        <v>550</v>
      </c>
      <c r="R367" s="29" t="n">
        <f aca="false">Q367+R366</f>
        <v>26365</v>
      </c>
    </row>
    <row r="368" customFormat="false" ht="12.8" hidden="false" customHeight="false" outlineLevel="0" collapsed="false">
      <c r="P368" s="29" t="n">
        <v>64</v>
      </c>
      <c r="Q368" s="82" t="n">
        <v>555</v>
      </c>
      <c r="R368" s="29" t="n">
        <f aca="false">Q368+R367</f>
        <v>26920</v>
      </c>
    </row>
    <row r="369" customFormat="false" ht="12.8" hidden="false" customHeight="false" outlineLevel="0" collapsed="false">
      <c r="P369" s="29" t="n">
        <v>65</v>
      </c>
      <c r="Q369" s="29" t="n">
        <v>555</v>
      </c>
      <c r="R369" s="29" t="n">
        <f aca="false">Q369+R368</f>
        <v>27475</v>
      </c>
    </row>
    <row r="370" customFormat="false" ht="12.8" hidden="false" customHeight="false" outlineLevel="0" collapsed="false">
      <c r="P370" s="29" t="n">
        <v>66</v>
      </c>
      <c r="Q370" s="29" t="n">
        <v>555</v>
      </c>
      <c r="R370" s="29" t="n">
        <f aca="false">Q370+R369</f>
        <v>28030</v>
      </c>
    </row>
    <row r="371" customFormat="false" ht="12.8" hidden="false" customHeight="false" outlineLevel="0" collapsed="false">
      <c r="P371" s="29" t="n">
        <v>67</v>
      </c>
      <c r="Q371" s="29" t="n">
        <v>555</v>
      </c>
      <c r="R371" s="29" t="n">
        <f aca="false">Q371+R370</f>
        <v>28585</v>
      </c>
    </row>
    <row r="372" customFormat="false" ht="12.8" hidden="false" customHeight="false" outlineLevel="0" collapsed="false">
      <c r="P372" s="29" t="n">
        <v>68</v>
      </c>
      <c r="Q372" s="29" t="n">
        <v>555</v>
      </c>
      <c r="R372" s="29" t="n">
        <f aca="false">Q372+R371</f>
        <v>29140</v>
      </c>
    </row>
    <row r="373" customFormat="false" ht="12.8" hidden="false" customHeight="false" outlineLevel="0" collapsed="false">
      <c r="P373" s="29" t="n">
        <v>69</v>
      </c>
      <c r="Q373" s="82" t="n">
        <v>560</v>
      </c>
      <c r="R373" s="29" t="n">
        <f aca="false">Q373+R372</f>
        <v>29700</v>
      </c>
    </row>
    <row r="374" customFormat="false" ht="12.8" hidden="false" customHeight="false" outlineLevel="0" collapsed="false">
      <c r="P374" s="29" t="n">
        <v>70</v>
      </c>
      <c r="Q374" s="29" t="n">
        <v>560</v>
      </c>
      <c r="R374" s="29" t="n">
        <f aca="false">Q374+R373</f>
        <v>30260</v>
      </c>
    </row>
    <row r="375" customFormat="false" ht="12.8" hidden="false" customHeight="false" outlineLevel="0" collapsed="false">
      <c r="P375" s="29" t="n">
        <v>71</v>
      </c>
      <c r="Q375" s="29" t="n">
        <v>560</v>
      </c>
      <c r="R375" s="29" t="n">
        <f aca="false">Q375+R374</f>
        <v>30820</v>
      </c>
    </row>
    <row r="376" customFormat="false" ht="12.8" hidden="false" customHeight="false" outlineLevel="0" collapsed="false">
      <c r="P376" s="29" t="n">
        <v>72</v>
      </c>
      <c r="Q376" s="29" t="n">
        <v>560</v>
      </c>
      <c r="R376" s="29" t="n">
        <f aca="false">Q376+R375</f>
        <v>31380</v>
      </c>
    </row>
    <row r="377" customFormat="false" ht="12.8" hidden="false" customHeight="false" outlineLevel="0" collapsed="false">
      <c r="P377" s="29" t="n">
        <v>73</v>
      </c>
      <c r="Q377" s="29" t="n">
        <v>560</v>
      </c>
      <c r="R377" s="29" t="n">
        <f aca="false">Q377+R376</f>
        <v>31940</v>
      </c>
    </row>
    <row r="378" customFormat="false" ht="12.8" hidden="false" customHeight="false" outlineLevel="0" collapsed="false">
      <c r="P378" s="29" t="n">
        <v>74</v>
      </c>
      <c r="Q378" s="82" t="n">
        <v>565</v>
      </c>
      <c r="R378" s="29" t="n">
        <f aca="false">Q378+R377</f>
        <v>32505</v>
      </c>
    </row>
    <row r="379" customFormat="false" ht="12.8" hidden="false" customHeight="false" outlineLevel="0" collapsed="false">
      <c r="P379" s="29" t="n">
        <v>75</v>
      </c>
      <c r="Q379" s="29" t="n">
        <v>565</v>
      </c>
      <c r="R379" s="29" t="n">
        <f aca="false">Q379+R378</f>
        <v>33070</v>
      </c>
    </row>
    <row r="380" customFormat="false" ht="12.8" hidden="false" customHeight="false" outlineLevel="0" collapsed="false">
      <c r="P380" s="29" t="n">
        <v>76</v>
      </c>
      <c r="Q380" s="29" t="n">
        <v>565</v>
      </c>
      <c r="R380" s="29" t="n">
        <f aca="false">Q380+R379</f>
        <v>33635</v>
      </c>
    </row>
    <row r="381" customFormat="false" ht="12.8" hidden="false" customHeight="false" outlineLevel="0" collapsed="false">
      <c r="P381" s="29" t="n">
        <v>77</v>
      </c>
      <c r="Q381" s="29" t="n">
        <v>565</v>
      </c>
      <c r="R381" s="29" t="n">
        <f aca="false">Q381+R380</f>
        <v>34200</v>
      </c>
    </row>
    <row r="382" customFormat="false" ht="12.8" hidden="false" customHeight="false" outlineLevel="0" collapsed="false">
      <c r="P382" s="29" t="n">
        <v>78</v>
      </c>
      <c r="Q382" s="29" t="n">
        <v>565</v>
      </c>
      <c r="R382" s="29" t="n">
        <f aca="false">Q382+R381</f>
        <v>34765</v>
      </c>
    </row>
    <row r="383" customFormat="false" ht="12.8" hidden="false" customHeight="false" outlineLevel="0" collapsed="false">
      <c r="P383" s="29" t="n">
        <v>79</v>
      </c>
      <c r="Q383" s="82" t="n">
        <v>570</v>
      </c>
      <c r="R383" s="29" t="n">
        <f aca="false">Q383+R382</f>
        <v>35335</v>
      </c>
      <c r="S383" s="83"/>
    </row>
    <row r="384" customFormat="false" ht="12.8" hidden="false" customHeight="false" outlineLevel="0" collapsed="false">
      <c r="P384" s="29" t="n">
        <v>80</v>
      </c>
      <c r="Q384" s="29" t="n">
        <v>570</v>
      </c>
      <c r="R384" s="29" t="n">
        <f aca="false">Q384+R383</f>
        <v>35905</v>
      </c>
      <c r="S384" s="83"/>
    </row>
    <row r="385" customFormat="false" ht="12.8" hidden="false" customHeight="false" outlineLevel="0" collapsed="false">
      <c r="P385" s="29" t="n">
        <v>81</v>
      </c>
      <c r="Q385" s="29" t="n">
        <v>570</v>
      </c>
      <c r="R385" s="29" t="n">
        <f aca="false">Q385+R384</f>
        <v>36475</v>
      </c>
      <c r="S385" s="83"/>
    </row>
    <row r="386" customFormat="false" ht="12.8" hidden="false" customHeight="false" outlineLevel="0" collapsed="false">
      <c r="P386" s="29" t="n">
        <v>82</v>
      </c>
      <c r="Q386" s="29" t="n">
        <v>570</v>
      </c>
      <c r="R386" s="29" t="n">
        <f aca="false">Q386+R385</f>
        <v>37045</v>
      </c>
      <c r="S386" s="83"/>
    </row>
    <row r="387" customFormat="false" ht="12.8" hidden="false" customHeight="false" outlineLevel="0" collapsed="false">
      <c r="P387" s="29" t="n">
        <v>83</v>
      </c>
      <c r="Q387" s="29" t="n">
        <v>570</v>
      </c>
      <c r="R387" s="29" t="n">
        <f aca="false">Q387+R386</f>
        <v>37615</v>
      </c>
      <c r="S387" s="83"/>
    </row>
    <row r="388" customFormat="false" ht="12.8" hidden="false" customHeight="false" outlineLevel="0" collapsed="false">
      <c r="P388" s="29" t="n">
        <v>84</v>
      </c>
      <c r="Q388" s="82" t="n">
        <v>575</v>
      </c>
      <c r="R388" s="29" t="n">
        <f aca="false">Q388+R387</f>
        <v>38190</v>
      </c>
      <c r="S388" s="83"/>
    </row>
    <row r="389" customFormat="false" ht="12.8" hidden="false" customHeight="false" outlineLevel="0" collapsed="false">
      <c r="P389" s="29" t="n">
        <v>85</v>
      </c>
      <c r="Q389" s="29" t="n">
        <v>575</v>
      </c>
      <c r="R389" s="29" t="n">
        <f aca="false">Q389+R388</f>
        <v>38765</v>
      </c>
      <c r="S389" s="83"/>
    </row>
    <row r="390" customFormat="false" ht="12.8" hidden="false" customHeight="false" outlineLevel="0" collapsed="false">
      <c r="P390" s="29" t="n">
        <v>86</v>
      </c>
      <c r="Q390" s="29" t="n">
        <v>575</v>
      </c>
      <c r="R390" s="29" t="n">
        <f aca="false">Q390+R389</f>
        <v>39340</v>
      </c>
      <c r="S390" s="83"/>
    </row>
    <row r="391" customFormat="false" ht="12.8" hidden="false" customHeight="false" outlineLevel="0" collapsed="false">
      <c r="P391" s="29" t="n">
        <v>87</v>
      </c>
      <c r="Q391" s="29" t="n">
        <v>575</v>
      </c>
      <c r="R391" s="29" t="n">
        <f aca="false">Q391+R390</f>
        <v>39915</v>
      </c>
      <c r="S391" s="83"/>
    </row>
    <row r="392" customFormat="false" ht="12.8" hidden="false" customHeight="false" outlineLevel="0" collapsed="false">
      <c r="P392" s="29" t="n">
        <v>88</v>
      </c>
      <c r="Q392" s="29" t="n">
        <v>575</v>
      </c>
      <c r="R392" s="29" t="n">
        <f aca="false">Q392+R391</f>
        <v>40490</v>
      </c>
      <c r="S392" s="83"/>
    </row>
    <row r="393" customFormat="false" ht="12.8" hidden="false" customHeight="false" outlineLevel="0" collapsed="false">
      <c r="P393" s="29" t="n">
        <v>89</v>
      </c>
      <c r="Q393" s="82" t="n">
        <v>580</v>
      </c>
      <c r="R393" s="29" t="n">
        <f aca="false">Q393+R392</f>
        <v>41070</v>
      </c>
    </row>
    <row r="394" customFormat="false" ht="12.8" hidden="false" customHeight="false" outlineLevel="0" collapsed="false">
      <c r="P394" s="29" t="n">
        <v>90</v>
      </c>
      <c r="Q394" s="29" t="n">
        <v>580</v>
      </c>
      <c r="R394" s="29" t="n">
        <f aca="false">Q394+R393</f>
        <v>41650</v>
      </c>
    </row>
    <row r="395" customFormat="false" ht="12.8" hidden="false" customHeight="false" outlineLevel="0" collapsed="false">
      <c r="P395" s="29" t="n">
        <v>91</v>
      </c>
      <c r="Q395" s="29" t="n">
        <v>580</v>
      </c>
      <c r="R395" s="29" t="n">
        <f aca="false">Q395+R394</f>
        <v>42230</v>
      </c>
    </row>
    <row r="396" customFormat="false" ht="12.8" hidden="false" customHeight="false" outlineLevel="0" collapsed="false">
      <c r="P396" s="29" t="n">
        <v>92</v>
      </c>
      <c r="Q396" s="29" t="n">
        <v>580</v>
      </c>
      <c r="R396" s="29" t="n">
        <f aca="false">Q396+R395</f>
        <v>42810</v>
      </c>
    </row>
    <row r="397" customFormat="false" ht="12.8" hidden="false" customHeight="false" outlineLevel="0" collapsed="false">
      <c r="P397" s="29" t="n">
        <v>93</v>
      </c>
      <c r="Q397" s="29" t="n">
        <v>580</v>
      </c>
      <c r="R397" s="29" t="n">
        <f aca="false">Q397+R396</f>
        <v>43390</v>
      </c>
    </row>
    <row r="398" customFormat="false" ht="12.8" hidden="false" customHeight="false" outlineLevel="0" collapsed="false">
      <c r="P398" s="29" t="n">
        <v>94</v>
      </c>
      <c r="Q398" s="82" t="n">
        <v>585</v>
      </c>
      <c r="R398" s="29" t="n">
        <f aca="false">Q398+R397</f>
        <v>43975</v>
      </c>
    </row>
    <row r="399" customFormat="false" ht="12.8" hidden="false" customHeight="false" outlineLevel="0" collapsed="false">
      <c r="P399" s="29" t="n">
        <v>95</v>
      </c>
      <c r="Q399" s="29" t="n">
        <v>585</v>
      </c>
      <c r="R399" s="29" t="n">
        <f aca="false">Q399+R398</f>
        <v>44560</v>
      </c>
    </row>
    <row r="400" customFormat="false" ht="12.8" hidden="false" customHeight="false" outlineLevel="0" collapsed="false">
      <c r="P400" s="29" t="n">
        <v>96</v>
      </c>
      <c r="Q400" s="29" t="n">
        <v>585</v>
      </c>
      <c r="R400" s="29" t="n">
        <f aca="false">Q400+R399</f>
        <v>45145</v>
      </c>
    </row>
    <row r="401" customFormat="false" ht="12.8" hidden="false" customHeight="false" outlineLevel="0" collapsed="false">
      <c r="P401" s="29" t="n">
        <v>97</v>
      </c>
      <c r="Q401" s="29" t="n">
        <v>585</v>
      </c>
      <c r="R401" s="29" t="n">
        <f aca="false">Q401+R400</f>
        <v>45730</v>
      </c>
    </row>
    <row r="402" customFormat="false" ht="12.8" hidden="false" customHeight="false" outlineLevel="0" collapsed="false">
      <c r="P402" s="29" t="n">
        <v>98</v>
      </c>
      <c r="Q402" s="29" t="n">
        <v>585</v>
      </c>
      <c r="R402" s="29" t="n">
        <f aca="false">Q402+R401</f>
        <v>46315</v>
      </c>
    </row>
    <row r="403" customFormat="false" ht="12.8" hidden="false" customHeight="false" outlineLevel="0" collapsed="false">
      <c r="P403" s="29" t="n">
        <v>99</v>
      </c>
      <c r="Q403" s="29" t="n">
        <v>585</v>
      </c>
      <c r="R403" s="29" t="n">
        <f aca="false">Q403+R402</f>
        <v>46900</v>
      </c>
    </row>
    <row r="404" customFormat="false" ht="12.8" hidden="false" customHeight="false" outlineLevel="0" collapsed="false">
      <c r="P404" s="29" t="n">
        <v>100</v>
      </c>
      <c r="Q404" s="29" t="n">
        <v>585</v>
      </c>
      <c r="R404" s="29" t="n">
        <f aca="false">Q404+R403</f>
        <v>47485</v>
      </c>
    </row>
    <row r="405" customFormat="false" ht="12.8" hidden="false" customHeight="false" outlineLevel="0" collapsed="false">
      <c r="P405" s="29" t="n">
        <v>101</v>
      </c>
      <c r="Q405" s="29" t="n">
        <v>585</v>
      </c>
      <c r="R405" s="29" t="n">
        <f aca="false">Q405+R404</f>
        <v>48070</v>
      </c>
    </row>
    <row r="406" customFormat="false" ht="12.8" hidden="false" customHeight="false" outlineLevel="0" collapsed="false">
      <c r="P406" s="29" t="n">
        <v>102</v>
      </c>
      <c r="Q406" s="29" t="n">
        <v>585</v>
      </c>
      <c r="R406" s="29" t="n">
        <f aca="false">Q406+R405</f>
        <v>48655</v>
      </c>
    </row>
    <row r="407" customFormat="false" ht="12.8" hidden="false" customHeight="false" outlineLevel="0" collapsed="false">
      <c r="P407" s="29" t="n">
        <v>103</v>
      </c>
      <c r="Q407" s="29" t="n">
        <v>585</v>
      </c>
      <c r="R407" s="29" t="n">
        <f aca="false">Q407+R406</f>
        <v>49240</v>
      </c>
    </row>
    <row r="408" customFormat="false" ht="12.8" hidden="false" customHeight="false" outlineLevel="0" collapsed="false">
      <c r="P408" s="29" t="n">
        <v>104</v>
      </c>
      <c r="Q408" s="29" t="n">
        <v>585</v>
      </c>
      <c r="R408" s="29" t="n">
        <f aca="false">Q408+R407</f>
        <v>49825</v>
      </c>
    </row>
    <row r="409" customFormat="false" ht="12.8" hidden="false" customHeight="false" outlineLevel="0" collapsed="false">
      <c r="P409" s="29" t="n">
        <v>105</v>
      </c>
      <c r="Q409" s="29" t="n">
        <v>585</v>
      </c>
      <c r="R409" s="29" t="n">
        <f aca="false">Q409+R408</f>
        <v>50410</v>
      </c>
    </row>
    <row r="410" customFormat="false" ht="12.8" hidden="false" customHeight="false" outlineLevel="0" collapsed="false">
      <c r="P410" s="29" t="n">
        <v>106</v>
      </c>
      <c r="Q410" s="29" t="n">
        <v>585</v>
      </c>
      <c r="R410" s="29" t="n">
        <f aca="false">Q410+R409</f>
        <v>50995</v>
      </c>
    </row>
    <row r="411" customFormat="false" ht="12.8" hidden="false" customHeight="false" outlineLevel="0" collapsed="false">
      <c r="P411" s="29" t="n">
        <v>107</v>
      </c>
      <c r="Q411" s="29" t="n">
        <v>585</v>
      </c>
      <c r="R411" s="29" t="n">
        <f aca="false">Q411+R410</f>
        <v>51580</v>
      </c>
    </row>
    <row r="412" customFormat="false" ht="12.8" hidden="false" customHeight="false" outlineLevel="0" collapsed="false">
      <c r="P412" s="29" t="n">
        <v>108</v>
      </c>
      <c r="Q412" s="29" t="n">
        <v>585</v>
      </c>
      <c r="R412" s="29" t="n">
        <f aca="false">Q412+R411</f>
        <v>52165</v>
      </c>
    </row>
    <row r="413" customFormat="false" ht="12.8" hidden="false" customHeight="false" outlineLevel="0" collapsed="false">
      <c r="P413" s="29" t="n">
        <v>109</v>
      </c>
      <c r="Q413" s="29" t="n">
        <v>585</v>
      </c>
      <c r="R413" s="29" t="n">
        <f aca="false">Q413+R412</f>
        <v>52750</v>
      </c>
    </row>
    <row r="414" customFormat="false" ht="12.8" hidden="false" customHeight="false" outlineLevel="0" collapsed="false">
      <c r="P414" s="29" t="n">
        <v>110</v>
      </c>
      <c r="Q414" s="29" t="n">
        <v>585</v>
      </c>
      <c r="R414" s="29" t="n">
        <f aca="false">Q414+R413</f>
        <v>53335</v>
      </c>
    </row>
    <row r="415" customFormat="false" ht="12.8" hidden="false" customHeight="false" outlineLevel="0" collapsed="false">
      <c r="P415" s="29" t="n">
        <v>111</v>
      </c>
      <c r="Q415" s="29" t="n">
        <v>585</v>
      </c>
      <c r="R415" s="29" t="n">
        <f aca="false">Q415+R414</f>
        <v>53920</v>
      </c>
    </row>
    <row r="416" customFormat="false" ht="12.8" hidden="false" customHeight="false" outlineLevel="0" collapsed="false">
      <c r="P416" s="29" t="n">
        <v>112</v>
      </c>
      <c r="Q416" s="29" t="n">
        <v>585</v>
      </c>
      <c r="R416" s="29" t="n">
        <f aca="false">Q416+R415</f>
        <v>54505</v>
      </c>
    </row>
    <row r="417" customFormat="false" ht="12.8" hidden="false" customHeight="false" outlineLevel="0" collapsed="false">
      <c r="P417" s="29" t="n">
        <v>113</v>
      </c>
      <c r="Q417" s="29" t="n">
        <v>585</v>
      </c>
      <c r="R417" s="29" t="n">
        <f aca="false">Q417+R416</f>
        <v>55090</v>
      </c>
    </row>
    <row r="418" customFormat="false" ht="12.8" hidden="false" customHeight="false" outlineLevel="0" collapsed="false">
      <c r="P418" s="29" t="n">
        <v>114</v>
      </c>
      <c r="Q418" s="29" t="n">
        <v>585</v>
      </c>
      <c r="R418" s="29" t="n">
        <f aca="false">Q418+R417</f>
        <v>55675</v>
      </c>
    </row>
    <row r="419" customFormat="false" ht="12.8" hidden="false" customHeight="false" outlineLevel="0" collapsed="false">
      <c r="P419" s="29" t="n">
        <v>115</v>
      </c>
      <c r="Q419" s="29" t="n">
        <v>585</v>
      </c>
      <c r="R419" s="29" t="n">
        <f aca="false">Q419+R418</f>
        <v>56260</v>
      </c>
    </row>
    <row r="420" customFormat="false" ht="12.8" hidden="false" customHeight="false" outlineLevel="0" collapsed="false">
      <c r="P420" s="29" t="n">
        <v>116</v>
      </c>
      <c r="Q420" s="29" t="n">
        <v>585</v>
      </c>
      <c r="R420" s="29" t="n">
        <f aca="false">Q420+R419</f>
        <v>56845</v>
      </c>
    </row>
    <row r="421" customFormat="false" ht="12.8" hidden="false" customHeight="false" outlineLevel="0" collapsed="false">
      <c r="P421" s="29" t="n">
        <v>117</v>
      </c>
      <c r="Q421" s="29" t="n">
        <v>585</v>
      </c>
      <c r="R421" s="29" t="n">
        <f aca="false">Q421+R420</f>
        <v>57430</v>
      </c>
    </row>
    <row r="422" customFormat="false" ht="12.8" hidden="false" customHeight="false" outlineLevel="0" collapsed="false">
      <c r="P422" s="29" t="n">
        <v>118</v>
      </c>
      <c r="Q422" s="29" t="n">
        <v>585</v>
      </c>
      <c r="R422" s="29" t="n">
        <f aca="false">Q422+R421</f>
        <v>58015</v>
      </c>
    </row>
    <row r="423" customFormat="false" ht="12.8" hidden="false" customHeight="false" outlineLevel="0" collapsed="false">
      <c r="P423" s="29" t="n">
        <v>119</v>
      </c>
      <c r="Q423" s="29" t="n">
        <v>585</v>
      </c>
      <c r="R423" s="29" t="n">
        <f aca="false">Q423+R422</f>
        <v>58600</v>
      </c>
    </row>
    <row r="424" customFormat="false" ht="12.8" hidden="false" customHeight="false" outlineLevel="0" collapsed="false">
      <c r="P424" s="29" t="n">
        <v>120</v>
      </c>
      <c r="Q424" s="29"/>
      <c r="R424" s="29"/>
    </row>
    <row r="425" customFormat="false" ht="12.8" hidden="false" customHeight="false" outlineLevel="0" collapsed="false">
      <c r="P425" s="13"/>
      <c r="Q425" s="13"/>
      <c r="R425" s="13"/>
    </row>
    <row r="426" customFormat="false" ht="12.8" hidden="false" customHeight="false" outlineLevel="0" collapsed="false">
      <c r="P426" s="13"/>
      <c r="Q426" s="13"/>
      <c r="R426" s="13"/>
    </row>
    <row r="427" customFormat="false" ht="12.8" hidden="false" customHeight="false" outlineLevel="0" collapsed="false">
      <c r="P427" s="13"/>
      <c r="Q427" s="13"/>
      <c r="R427" s="13"/>
    </row>
    <row r="428" customFormat="false" ht="12.8" hidden="false" customHeight="false" outlineLevel="0" collapsed="false">
      <c r="P428" s="13"/>
      <c r="Q428" s="13"/>
      <c r="R428" s="13"/>
    </row>
    <row r="429" customFormat="false" ht="12.8" hidden="false" customHeight="false" outlineLevel="0" collapsed="false">
      <c r="P429" s="13"/>
      <c r="Q429" s="13"/>
      <c r="R429" s="13"/>
    </row>
    <row r="430" customFormat="false" ht="12.8" hidden="false" customHeight="false" outlineLevel="0" collapsed="false">
      <c r="P430" s="13"/>
      <c r="Q430" s="13"/>
      <c r="R430" s="13"/>
    </row>
  </sheetData>
  <conditionalFormatting sqref="B123:L128 B130:L135 B137:L142 B144:L149 B196:L196 B198:L198 B201:L204 P200:S204 B156:L159 B162:L162 B164:L164 B167:L169 P166:S169 B161:G162 H161:L161 B166:G169 H166:L166 B200:G204 H200:L200 B211:L211 B213:L214 B216:L216 B218:L222 P213:S214 P123:S128 P130:S135 P137:S142 P144:S149 P156:S162 P164:S164 P196:S196 P198:S198 P211:S211 P216:S216 P218:S222 P247:S248 P260:S261 B248:L248 B247:G248 H247:L247 B260:L261 B250:L258 P250:S258 B229:L230 B232:L233 B235:L236 B238:L240 P229:S230 P232:S233 P235:S236 P238:S240 B176:L179 B181:L184 B186:L186 B188:L189 P176:S179 P181:S184 P186:S186 P188:S189">
    <cfRule type="cellIs" priority="2" operator="greaterThan" aboveAverage="0" equalAverage="0" bottom="0" percent="0" rank="0" text="" dxfId="0">
      <formula>0</formula>
    </cfRule>
  </conditionalFormatting>
  <conditionalFormatting sqref="H3:M13">
    <cfRule type="cellIs" priority="3" operator="notEqual" aboveAverage="0" equalAverage="0" bottom="0" percent="0" rank="0" text="" dxfId="0">
      <formula>0</formula>
    </cfRule>
  </conditionalFormatting>
  <conditionalFormatting sqref="D3:D13">
    <cfRule type="cellIs" priority="4" operator="notEqual" aboveAverage="0" equalAverage="0" bottom="0" percent="0" rank="0" text="" dxfId="0">
      <formula>0</formula>
    </cfRule>
  </conditionalFormatting>
  <conditionalFormatting sqref="B17:L95">
    <cfRule type="cellIs" priority="5" operator="notEqual" aboveAverage="0" equalAverage="0" bottom="0" percent="0" rank="0" text="" dxfId="0">
      <formula>0</formula>
    </cfRule>
  </conditionalFormatting>
  <conditionalFormatting sqref="B123:L128 B130:L135 B137:L142 B144:L149 B156:L159 B162:L162 B164:L164 B167:L169 P166:S169 B161:G162 H161:L161 B166:G169 H166:L166 H198:L198 H200:L204 B211:L211 B213:L214 B216:L216 B218:L222 P213:S214 P123:S128 P130:S135 P137:S142 P144:S149 P156:S162 P164:S164 P196:S196 P198:S198 P200:S204 P211:S211 P216:S216 P218:S222 P247:S248 P260:S261 B248:L248 B247:G248 H247:L247 B260:L261 B250:L258 P250:S258 B229:L230 B232:L233 B235:L236 B238:L240 P229:S230 P232:S233 P235:S236 P238:S240 B176:L179 B181:L184 B186:L186 B188:L189 P176:S179 P181:S184 P186:S186 P188:S189">
    <cfRule type="cellIs" priority="6" operator="notEqual" aboveAverage="0" equalAverage="0" bottom="0" percent="0" rank="0" text="" dxfId="0">
      <formula>0</formula>
    </cfRule>
  </conditionalFormatting>
  <conditionalFormatting sqref="J3:J13">
    <cfRule type="cellIs" priority="7" operator="equal" aboveAverage="0" equalAverage="0" bottom="0" percent="0" rank="0" text="" dxfId="0">
      <formula>0</formula>
    </cfRule>
  </conditionalFormatting>
  <conditionalFormatting sqref="O3:S13">
    <cfRule type="cellIs" priority="8" operator="notEqual" aboveAverage="0" equalAverage="0" bottom="0" percent="0" rank="0" text="" dxfId="0">
      <formula>0</formula>
    </cfRule>
  </conditionalFormatting>
  <dataValidations count="1">
    <dataValidation allowBlank="true" errorStyle="stop" operator="equal" showDropDown="false" showErrorMessage="true" showInputMessage="false" sqref="B2" type="list">
      <formula1>FFXVBD!$V$3:$V$13</formula1>
      <formula2>0</formula2>
    </dataValidation>
  </dataValidation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3"/>
  <sheetViews>
    <sheetView showFormulas="false" showGridLines="true" showRowColHeaders="true" showZeros="true" rightToLeft="false" tabSelected="false" showOutlineSymbols="true" defaultGridColor="true" view="normal" topLeftCell="B1" colorId="64" zoomScale="78" zoomScaleNormal="78" zoomScalePageLayoutView="100" workbookViewId="0">
      <selection pane="topLeft" activeCell="E14" activeCellId="1" sqref="L46:O46 E14"/>
    </sheetView>
  </sheetViews>
  <sheetFormatPr defaultColWidth="11.8046875" defaultRowHeight="12.8" zeroHeight="false" outlineLevelRow="0" outlineLevelCol="0"/>
  <cols>
    <col collapsed="false" customWidth="true" hidden="false" outlineLevel="0" max="1" min="1" style="1" width="18.12"/>
    <col collapsed="false" customWidth="true" hidden="false" outlineLevel="0" max="2" min="2" style="1" width="12.83"/>
    <col collapsed="false" customWidth="true" hidden="false" outlineLevel="0" max="3" min="3" style="1" width="5.6"/>
    <col collapsed="false" customWidth="true" hidden="false" outlineLevel="0" max="4" min="4" style="1" width="4.76"/>
    <col collapsed="false" customWidth="true" hidden="false" outlineLevel="0" max="5" min="5" style="1" width="7.26"/>
    <col collapsed="false" customWidth="true" hidden="false" outlineLevel="0" max="6" min="6" style="1" width="133.01"/>
    <col collapsed="false" customWidth="true" hidden="false" outlineLevel="0" max="64" min="7" style="1" width="11.91"/>
  </cols>
  <sheetData>
    <row r="2" customFormat="false" ht="12.8" hidden="false" customHeight="false" outlineLevel="0" collapsed="false">
      <c r="A2" s="84" t="s">
        <v>346</v>
      </c>
    </row>
    <row r="3" customFormat="false" ht="12.8" hidden="false" customHeight="false" outlineLevel="0" collapsed="false">
      <c r="A3" s="85" t="s">
        <v>347</v>
      </c>
      <c r="B3" s="85" t="s">
        <v>117</v>
      </c>
      <c r="C3" s="85" t="s">
        <v>348</v>
      </c>
      <c r="D3" s="85" t="s">
        <v>349</v>
      </c>
      <c r="E3" s="85" t="s">
        <v>350</v>
      </c>
      <c r="F3" s="85" t="s">
        <v>351</v>
      </c>
    </row>
    <row r="4" customFormat="false" ht="12.8" hidden="false" customHeight="false" outlineLevel="0" collapsed="false">
      <c r="A4" s="86" t="s">
        <v>352</v>
      </c>
      <c r="B4" s="86" t="s">
        <v>353</v>
      </c>
      <c r="C4" s="87" t="n">
        <v>99</v>
      </c>
      <c r="D4" s="87" t="n">
        <v>99</v>
      </c>
      <c r="E4" s="87" t="n">
        <v>99</v>
      </c>
      <c r="F4" s="86" t="s">
        <v>354</v>
      </c>
    </row>
    <row r="5" customFormat="false" ht="12.8" hidden="false" customHeight="false" outlineLevel="0" collapsed="false">
      <c r="A5" s="86" t="s">
        <v>355</v>
      </c>
      <c r="B5" s="86" t="s">
        <v>356</v>
      </c>
      <c r="C5" s="87" t="n">
        <v>99</v>
      </c>
      <c r="D5" s="87" t="n">
        <v>50</v>
      </c>
      <c r="E5" s="87" t="n">
        <v>49</v>
      </c>
      <c r="F5" s="86" t="s">
        <v>354</v>
      </c>
    </row>
    <row r="6" customFormat="false" ht="12.8" hidden="false" customHeight="false" outlineLevel="0" collapsed="false">
      <c r="A6" s="86" t="s">
        <v>357</v>
      </c>
      <c r="B6" s="86" t="s">
        <v>356</v>
      </c>
      <c r="C6" s="87" t="n">
        <v>99</v>
      </c>
      <c r="D6" s="87" t="n">
        <v>49</v>
      </c>
      <c r="E6" s="87" t="n">
        <v>50</v>
      </c>
      <c r="F6" s="86" t="s">
        <v>354</v>
      </c>
    </row>
    <row r="7" customFormat="false" ht="12.8" hidden="false" customHeight="false" outlineLevel="0" collapsed="false">
      <c r="A7" s="86" t="s">
        <v>358</v>
      </c>
      <c r="B7" s="86" t="s">
        <v>359</v>
      </c>
      <c r="C7" s="87" t="n">
        <v>50</v>
      </c>
      <c r="D7" s="87" t="n">
        <v>99</v>
      </c>
      <c r="E7" s="87" t="n">
        <v>49</v>
      </c>
      <c r="F7" s="86" t="s">
        <v>354</v>
      </c>
    </row>
    <row r="8" customFormat="false" ht="12.8" hidden="false" customHeight="false" outlineLevel="0" collapsed="false">
      <c r="A8" s="86" t="s">
        <v>360</v>
      </c>
      <c r="B8" s="86" t="s">
        <v>359</v>
      </c>
      <c r="C8" s="87" t="n">
        <v>49</v>
      </c>
      <c r="D8" s="87" t="n">
        <v>99</v>
      </c>
      <c r="E8" s="87" t="n">
        <v>50</v>
      </c>
      <c r="F8" s="86" t="s">
        <v>354</v>
      </c>
    </row>
    <row r="9" customFormat="false" ht="12.8" hidden="false" customHeight="false" outlineLevel="0" collapsed="false">
      <c r="A9" s="86" t="s">
        <v>361</v>
      </c>
      <c r="B9" s="86" t="s">
        <v>362</v>
      </c>
      <c r="C9" s="87" t="n">
        <v>50</v>
      </c>
      <c r="D9" s="87" t="n">
        <v>49</v>
      </c>
      <c r="E9" s="87" t="n">
        <v>99</v>
      </c>
      <c r="F9" s="86" t="s">
        <v>354</v>
      </c>
    </row>
    <row r="10" customFormat="false" ht="12.8" hidden="false" customHeight="false" outlineLevel="0" collapsed="false">
      <c r="A10" s="86" t="s">
        <v>363</v>
      </c>
      <c r="B10" s="86" t="s">
        <v>362</v>
      </c>
      <c r="C10" s="87" t="n">
        <v>49</v>
      </c>
      <c r="D10" s="87" t="n">
        <v>50</v>
      </c>
      <c r="E10" s="87" t="n">
        <v>99</v>
      </c>
      <c r="F10" s="86" t="s">
        <v>354</v>
      </c>
    </row>
    <row r="11" customFormat="false" ht="12.8" hidden="false" customHeight="false" outlineLevel="0" collapsed="false">
      <c r="A11" s="86" t="s">
        <v>352</v>
      </c>
      <c r="B11" s="86" t="s">
        <v>364</v>
      </c>
      <c r="C11" s="87" t="n">
        <v>99</v>
      </c>
      <c r="D11" s="87" t="n">
        <v>99</v>
      </c>
      <c r="E11" s="87" t="n">
        <v>99</v>
      </c>
      <c r="F11" s="86" t="s">
        <v>365</v>
      </c>
    </row>
    <row r="12" customFormat="false" ht="12.8" hidden="false" customHeight="false" outlineLevel="0" collapsed="false">
      <c r="A12" s="86"/>
      <c r="B12" s="86"/>
      <c r="C12" s="87"/>
      <c r="D12" s="87"/>
      <c r="E12" s="87"/>
      <c r="F12" s="86"/>
    </row>
    <row r="13" customFormat="false" ht="12.8" hidden="false" customHeight="false" outlineLevel="0" collapsed="false">
      <c r="A13" s="86"/>
      <c r="B13" s="86"/>
      <c r="C13" s="87"/>
      <c r="D13" s="87"/>
      <c r="E13" s="87"/>
      <c r="F13" s="86"/>
    </row>
    <row r="14" customFormat="false" ht="12.8" hidden="false" customHeight="false" outlineLevel="0" collapsed="false">
      <c r="A14" s="86"/>
      <c r="B14" s="86"/>
      <c r="C14" s="87"/>
      <c r="D14" s="87"/>
      <c r="E14" s="87"/>
      <c r="F14" s="86"/>
    </row>
    <row r="15" customFormat="false" ht="12.8" hidden="false" customHeight="false" outlineLevel="0" collapsed="false">
      <c r="A15" s="86"/>
      <c r="B15" s="86"/>
      <c r="C15" s="87"/>
      <c r="D15" s="87"/>
      <c r="E15" s="87"/>
      <c r="F15" s="86"/>
    </row>
    <row r="16" customFormat="false" ht="12.8" hidden="false" customHeight="false" outlineLevel="0" collapsed="false">
      <c r="A16" s="86"/>
      <c r="B16" s="86"/>
      <c r="C16" s="87"/>
      <c r="D16" s="87"/>
      <c r="E16" s="87"/>
      <c r="F16" s="86"/>
    </row>
    <row r="17" customFormat="false" ht="12.8" hidden="false" customHeight="false" outlineLevel="0" collapsed="false">
      <c r="A17" s="86"/>
      <c r="B17" s="86"/>
      <c r="C17" s="86"/>
      <c r="D17" s="86"/>
      <c r="E17" s="86"/>
      <c r="F17" s="86"/>
    </row>
    <row r="18" customFormat="false" ht="12.8" hidden="false" customHeight="false" outlineLevel="0" collapsed="false">
      <c r="A18" s="86"/>
      <c r="B18" s="86"/>
      <c r="C18" s="86"/>
      <c r="D18" s="86"/>
      <c r="E18" s="86"/>
      <c r="F18" s="86"/>
    </row>
    <row r="19" customFormat="false" ht="12.8" hidden="false" customHeight="false" outlineLevel="0" collapsed="false">
      <c r="A19" s="86"/>
      <c r="B19" s="86"/>
      <c r="C19" s="86"/>
      <c r="D19" s="86"/>
      <c r="E19" s="86"/>
      <c r="F19" s="86"/>
    </row>
    <row r="20" customFormat="false" ht="12.8" hidden="false" customHeight="false" outlineLevel="0" collapsed="false">
      <c r="A20" s="86"/>
      <c r="B20" s="86"/>
      <c r="C20" s="86"/>
      <c r="D20" s="86"/>
      <c r="E20" s="86"/>
      <c r="F20" s="86"/>
    </row>
    <row r="21" customFormat="false" ht="12.8" hidden="false" customHeight="false" outlineLevel="0" collapsed="false">
      <c r="A21" s="86"/>
      <c r="B21" s="86"/>
      <c r="C21" s="86"/>
      <c r="D21" s="86"/>
      <c r="E21" s="86"/>
      <c r="F21" s="86"/>
    </row>
    <row r="22" customFormat="false" ht="12.8" hidden="false" customHeight="false" outlineLevel="0" collapsed="false">
      <c r="A22" s="86"/>
      <c r="B22" s="86"/>
      <c r="C22" s="86"/>
      <c r="D22" s="86"/>
      <c r="E22" s="86"/>
      <c r="F22" s="86"/>
    </row>
    <row r="23" customFormat="false" ht="12.8" hidden="false" customHeight="false" outlineLevel="0" collapsed="false">
      <c r="A23" s="86"/>
      <c r="B23" s="86"/>
      <c r="C23" s="86"/>
      <c r="D23" s="86"/>
      <c r="E23" s="86"/>
      <c r="F23" s="86"/>
    </row>
    <row r="24" customFormat="false" ht="12.8" hidden="false" customHeight="false" outlineLevel="0" collapsed="false">
      <c r="A24" s="86"/>
      <c r="B24" s="86"/>
      <c r="C24" s="86"/>
      <c r="D24" s="86"/>
      <c r="E24" s="86"/>
      <c r="F24" s="86"/>
    </row>
    <row r="25" customFormat="false" ht="12.8" hidden="false" customHeight="false" outlineLevel="0" collapsed="false">
      <c r="A25" s="86"/>
      <c r="B25" s="86"/>
      <c r="C25" s="86"/>
      <c r="D25" s="86"/>
      <c r="E25" s="86"/>
      <c r="F25" s="86"/>
    </row>
    <row r="26" customFormat="false" ht="12.8" hidden="false" customHeight="false" outlineLevel="0" collapsed="false">
      <c r="A26" s="86"/>
      <c r="B26" s="86"/>
      <c r="C26" s="86"/>
      <c r="D26" s="86"/>
      <c r="E26" s="86"/>
      <c r="F26" s="86"/>
    </row>
    <row r="27" customFormat="false" ht="12.8" hidden="false" customHeight="false" outlineLevel="0" collapsed="false">
      <c r="A27" s="86"/>
      <c r="B27" s="86"/>
      <c r="C27" s="86"/>
      <c r="D27" s="86"/>
      <c r="E27" s="86"/>
      <c r="F27" s="86"/>
    </row>
    <row r="28" customFormat="false" ht="12.8" hidden="false" customHeight="false" outlineLevel="0" collapsed="false">
      <c r="A28" s="86"/>
      <c r="B28" s="86"/>
      <c r="C28" s="86"/>
      <c r="D28" s="86"/>
      <c r="E28" s="86"/>
      <c r="F28" s="86"/>
    </row>
    <row r="29" customFormat="false" ht="12.8" hidden="false" customHeight="false" outlineLevel="0" collapsed="false">
      <c r="A29" s="86"/>
      <c r="B29" s="86"/>
      <c r="C29" s="86"/>
      <c r="D29" s="86"/>
      <c r="E29" s="86"/>
      <c r="F29" s="86"/>
    </row>
    <row r="30" customFormat="false" ht="12.8" hidden="false" customHeight="false" outlineLevel="0" collapsed="false">
      <c r="A30" s="86"/>
      <c r="B30" s="86"/>
      <c r="C30" s="86"/>
      <c r="D30" s="86"/>
      <c r="E30" s="86"/>
      <c r="F30" s="86"/>
    </row>
    <row r="31" customFormat="false" ht="12.8" hidden="false" customHeight="false" outlineLevel="0" collapsed="false">
      <c r="A31" s="86"/>
      <c r="B31" s="86"/>
      <c r="C31" s="86"/>
      <c r="D31" s="86"/>
      <c r="E31" s="86"/>
      <c r="F31" s="86"/>
    </row>
    <row r="32" customFormat="false" ht="12.8" hidden="false" customHeight="false" outlineLevel="0" collapsed="false">
      <c r="A32" s="86"/>
      <c r="B32" s="86"/>
      <c r="C32" s="86"/>
      <c r="D32" s="86"/>
      <c r="E32" s="86"/>
      <c r="F32" s="86"/>
    </row>
    <row r="33" customFormat="false" ht="12.8" hidden="false" customHeight="false" outlineLevel="0" collapsed="false">
      <c r="A33" s="86"/>
      <c r="B33" s="86"/>
      <c r="C33" s="86"/>
      <c r="D33" s="86"/>
      <c r="E33" s="86"/>
      <c r="F33" s="86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40"/>
  <sheetViews>
    <sheetView showFormulas="false" showGridLines="true" showRowColHeaders="true" showZeros="true" rightToLeft="false" tabSelected="false" showOutlineSymbols="true" defaultGridColor="true" view="normal" topLeftCell="F1" colorId="64" zoomScale="78" zoomScaleNormal="78" zoomScalePageLayoutView="100" workbookViewId="0">
      <selection pane="topLeft" activeCell="H11" activeCellId="1" sqref="L46:O46 H11"/>
    </sheetView>
  </sheetViews>
  <sheetFormatPr defaultColWidth="12.109375" defaultRowHeight="12.8" zeroHeight="false" outlineLevelRow="0" outlineLevelCol="0"/>
  <cols>
    <col collapsed="false" customWidth="true" hidden="false" outlineLevel="0" max="1" min="1" style="1" width="4.9"/>
    <col collapsed="false" customWidth="true" hidden="false" outlineLevel="0" max="2" min="2" style="1" width="5.6"/>
    <col collapsed="false" customWidth="true" hidden="false" outlineLevel="0" max="3" min="3" style="88" width="5.88"/>
    <col collapsed="false" customWidth="true" hidden="false" outlineLevel="0" max="4" min="4" style="1" width="18.66"/>
    <col collapsed="false" customWidth="true" hidden="false" outlineLevel="0" max="5" min="5" style="1" width="77.58"/>
    <col collapsed="false" customWidth="true" hidden="false" outlineLevel="0" max="6" min="6" style="1" width="3.18"/>
    <col collapsed="false" customWidth="true" hidden="false" outlineLevel="0" max="7" min="7" style="1" width="20.05"/>
    <col collapsed="false" customWidth="true" hidden="false" outlineLevel="0" max="8" min="8" style="1" width="4.76"/>
    <col collapsed="false" customWidth="true" hidden="false" outlineLevel="0" max="9" min="9" style="1" width="5.04"/>
    <col collapsed="false" customWidth="true" hidden="false" outlineLevel="0" max="10" min="10" style="1" width="6.85"/>
    <col collapsed="false" customWidth="true" hidden="false" outlineLevel="0" max="11" min="11" style="88" width="8.66"/>
    <col collapsed="false" customWidth="true" hidden="false" outlineLevel="0" max="12" min="12" style="88" width="6.16"/>
    <col collapsed="false" customWidth="true" hidden="false" outlineLevel="0" max="1024" min="1023" style="1" width="11.52"/>
  </cols>
  <sheetData>
    <row r="3" customFormat="false" ht="12.8" hidden="false" customHeight="false" outlineLevel="0" collapsed="false">
      <c r="A3" s="85" t="s">
        <v>366</v>
      </c>
      <c r="B3" s="85" t="s">
        <v>367</v>
      </c>
      <c r="C3" s="85" t="s">
        <v>343</v>
      </c>
      <c r="D3" s="85" t="s">
        <v>368</v>
      </c>
      <c r="E3" s="85" t="s">
        <v>369</v>
      </c>
      <c r="G3" s="85" t="s">
        <v>370</v>
      </c>
      <c r="H3" s="85" t="s">
        <v>371</v>
      </c>
      <c r="I3" s="85" t="s">
        <v>372</v>
      </c>
      <c r="J3" s="85" t="s">
        <v>373</v>
      </c>
      <c r="K3" s="85" t="s">
        <v>374</v>
      </c>
      <c r="L3" s="85" t="s">
        <v>375</v>
      </c>
    </row>
    <row r="4" customFormat="false" ht="12.8" hidden="false" customHeight="false" outlineLevel="0" collapsed="false">
      <c r="A4" s="87"/>
      <c r="B4" s="87"/>
      <c r="C4" s="87" t="n">
        <v>5</v>
      </c>
      <c r="D4" s="86" t="s">
        <v>376</v>
      </c>
      <c r="E4" s="86" t="s">
        <v>377</v>
      </c>
      <c r="G4" s="89" t="s">
        <v>378</v>
      </c>
      <c r="H4" s="90" t="s">
        <v>379</v>
      </c>
      <c r="I4" s="87" t="s">
        <v>379</v>
      </c>
      <c r="J4" s="87" t="n">
        <v>26</v>
      </c>
      <c r="K4" s="87" t="s">
        <v>380</v>
      </c>
      <c r="L4" s="87"/>
    </row>
    <row r="5" customFormat="false" ht="12.8" hidden="false" customHeight="false" outlineLevel="0" collapsed="false">
      <c r="A5" s="87"/>
      <c r="B5" s="87"/>
      <c r="C5" s="87" t="n">
        <v>5</v>
      </c>
      <c r="D5" s="86" t="s">
        <v>381</v>
      </c>
      <c r="E5" s="86" t="s">
        <v>382</v>
      </c>
      <c r="K5" s="1"/>
      <c r="L5" s="1"/>
    </row>
    <row r="6" customFormat="false" ht="12.8" hidden="false" customHeight="false" outlineLevel="0" collapsed="false">
      <c r="A6" s="87"/>
      <c r="B6" s="87"/>
      <c r="C6" s="87" t="n">
        <v>3</v>
      </c>
      <c r="D6" s="86" t="s">
        <v>383</v>
      </c>
      <c r="E6" s="86" t="s">
        <v>384</v>
      </c>
      <c r="G6" s="1" t="s">
        <v>385</v>
      </c>
      <c r="K6" s="1"/>
      <c r="L6" s="1"/>
    </row>
    <row r="7" customFormat="false" ht="12.8" hidden="false" customHeight="false" outlineLevel="0" collapsed="false">
      <c r="A7" s="87" t="s">
        <v>386</v>
      </c>
      <c r="B7" s="87"/>
      <c r="C7" s="87" t="n">
        <v>3</v>
      </c>
      <c r="D7" s="86" t="s">
        <v>387</v>
      </c>
      <c r="E7" s="86" t="s">
        <v>388</v>
      </c>
      <c r="G7" s="1" t="s">
        <v>389</v>
      </c>
      <c r="K7" s="1"/>
      <c r="L7" s="1"/>
    </row>
    <row r="8" customFormat="false" ht="12.8" hidden="false" customHeight="false" outlineLevel="0" collapsed="false">
      <c r="A8" s="87" t="s">
        <v>386</v>
      </c>
      <c r="B8" s="87"/>
      <c r="C8" s="87" t="n">
        <v>3</v>
      </c>
      <c r="D8" s="86" t="s">
        <v>390</v>
      </c>
      <c r="E8" s="86" t="s">
        <v>391</v>
      </c>
      <c r="K8" s="1"/>
      <c r="L8" s="1"/>
    </row>
    <row r="9" customFormat="false" ht="12.8" hidden="false" customHeight="false" outlineLevel="0" collapsed="false">
      <c r="A9" s="87" t="s">
        <v>386</v>
      </c>
      <c r="B9" s="87"/>
      <c r="C9" s="87" t="n">
        <v>3</v>
      </c>
      <c r="D9" s="86" t="s">
        <v>392</v>
      </c>
      <c r="E9" s="86" t="s">
        <v>393</v>
      </c>
      <c r="K9" s="1"/>
      <c r="L9" s="1"/>
    </row>
    <row r="10" customFormat="false" ht="12.8" hidden="false" customHeight="false" outlineLevel="0" collapsed="false">
      <c r="A10" s="87" t="s">
        <v>386</v>
      </c>
      <c r="B10" s="87"/>
      <c r="C10" s="87" t="n">
        <v>3</v>
      </c>
      <c r="D10" s="86" t="s">
        <v>394</v>
      </c>
      <c r="E10" s="86" t="s">
        <v>395</v>
      </c>
      <c r="K10" s="1"/>
      <c r="L10" s="1"/>
    </row>
    <row r="11" customFormat="false" ht="12.8" hidden="false" customHeight="false" outlineLevel="0" collapsed="false">
      <c r="A11" s="87" t="s">
        <v>386</v>
      </c>
      <c r="B11" s="87"/>
      <c r="C11" s="87" t="n">
        <v>3</v>
      </c>
      <c r="D11" s="86" t="s">
        <v>396</v>
      </c>
      <c r="E11" s="86" t="s">
        <v>397</v>
      </c>
      <c r="J11" s="91"/>
      <c r="K11" s="1"/>
      <c r="L11" s="1"/>
    </row>
    <row r="12" customFormat="false" ht="12.8" hidden="false" customHeight="false" outlineLevel="0" collapsed="false">
      <c r="A12" s="87"/>
      <c r="B12" s="87"/>
      <c r="C12" s="87" t="n">
        <v>3</v>
      </c>
      <c r="D12" s="86" t="s">
        <v>398</v>
      </c>
      <c r="E12" s="86" t="s">
        <v>399</v>
      </c>
      <c r="K12" s="1"/>
      <c r="L12" s="1"/>
    </row>
    <row r="13" customFormat="false" ht="12.8" hidden="false" customHeight="false" outlineLevel="0" collapsed="false">
      <c r="A13" s="90" t="s">
        <v>386</v>
      </c>
      <c r="B13" s="87"/>
      <c r="C13" s="87" t="n">
        <v>3</v>
      </c>
      <c r="D13" s="86" t="s">
        <v>400</v>
      </c>
      <c r="E13" s="86" t="s">
        <v>401</v>
      </c>
      <c r="K13" s="1"/>
      <c r="L13" s="1"/>
    </row>
    <row r="14" customFormat="false" ht="12.8" hidden="false" customHeight="false" outlineLevel="0" collapsed="false">
      <c r="A14" s="87" t="s">
        <v>386</v>
      </c>
      <c r="B14" s="87"/>
      <c r="C14" s="87" t="n">
        <v>1</v>
      </c>
      <c r="D14" s="86" t="s">
        <v>402</v>
      </c>
      <c r="E14" s="86" t="s">
        <v>403</v>
      </c>
      <c r="K14" s="1"/>
      <c r="L14" s="1"/>
    </row>
    <row r="15" customFormat="false" ht="12.8" hidden="false" customHeight="false" outlineLevel="0" collapsed="false">
      <c r="A15" s="87"/>
      <c r="B15" s="87"/>
      <c r="C15" s="87" t="n">
        <v>3</v>
      </c>
      <c r="D15" s="86" t="s">
        <v>404</v>
      </c>
      <c r="E15" s="86" t="s">
        <v>405</v>
      </c>
      <c r="K15" s="1"/>
      <c r="L15" s="1"/>
    </row>
    <row r="16" customFormat="false" ht="12.8" hidden="false" customHeight="false" outlineLevel="0" collapsed="false">
      <c r="A16" s="87"/>
      <c r="B16" s="87"/>
      <c r="C16" s="87" t="n">
        <v>3</v>
      </c>
      <c r="D16" s="86" t="s">
        <v>406</v>
      </c>
      <c r="E16" s="86" t="s">
        <v>407</v>
      </c>
      <c r="K16" s="1"/>
      <c r="L16" s="1"/>
    </row>
    <row r="17" customFormat="false" ht="12.8" hidden="false" customHeight="false" outlineLevel="0" collapsed="false">
      <c r="A17" s="92"/>
      <c r="B17" s="92"/>
      <c r="C17" s="87" t="n">
        <v>3</v>
      </c>
      <c r="D17" s="92" t="s">
        <v>408</v>
      </c>
      <c r="E17" s="92" t="s">
        <v>409</v>
      </c>
      <c r="K17" s="1"/>
      <c r="L17" s="1"/>
    </row>
    <row r="18" customFormat="false" ht="12.8" hidden="false" customHeight="false" outlineLevel="0" collapsed="false">
      <c r="A18" s="92"/>
      <c r="B18" s="92"/>
      <c r="C18" s="87"/>
      <c r="D18" s="92"/>
      <c r="E18" s="92"/>
      <c r="I18" s="91"/>
      <c r="K18" s="1"/>
      <c r="L18" s="1"/>
    </row>
    <row r="19" customFormat="false" ht="12.8" hidden="false" customHeight="false" outlineLevel="0" collapsed="false">
      <c r="K19" s="1"/>
      <c r="L19" s="1"/>
    </row>
    <row r="20" customFormat="false" ht="12.8" hidden="false" customHeight="false" outlineLevel="0" collapsed="false">
      <c r="K20" s="1"/>
      <c r="L20" s="91"/>
    </row>
    <row r="21" customFormat="false" ht="12.8" hidden="false" customHeight="false" outlineLevel="0" collapsed="false">
      <c r="K21" s="1"/>
      <c r="L21" s="1"/>
    </row>
    <row r="22" customFormat="false" ht="12.8" hidden="false" customHeight="false" outlineLevel="0" collapsed="false">
      <c r="K22" s="1"/>
      <c r="L22" s="1"/>
    </row>
    <row r="23" customFormat="false" ht="12.8" hidden="false" customHeight="false" outlineLevel="0" collapsed="false">
      <c r="K23" s="1"/>
      <c r="L23" s="1"/>
    </row>
    <row r="24" customFormat="false" ht="12.8" hidden="false" customHeight="false" outlineLevel="0" collapsed="false">
      <c r="K24" s="1"/>
      <c r="L24" s="1"/>
    </row>
    <row r="25" customFormat="false" ht="12.8" hidden="false" customHeight="false" outlineLevel="0" collapsed="false">
      <c r="K25" s="1"/>
      <c r="L25" s="1"/>
    </row>
    <row r="26" customFormat="false" ht="12.8" hidden="false" customHeight="false" outlineLevel="0" collapsed="false">
      <c r="K26" s="1"/>
      <c r="L26" s="1"/>
    </row>
    <row r="27" customFormat="false" ht="12.8" hidden="false" customHeight="false" outlineLevel="0" collapsed="false">
      <c r="K27" s="1"/>
      <c r="L27" s="1"/>
    </row>
    <row r="28" customFormat="false" ht="12.8" hidden="false" customHeight="false" outlineLevel="0" collapsed="false">
      <c r="K28" s="91"/>
      <c r="L28" s="1"/>
    </row>
    <row r="29" customFormat="false" ht="12.8" hidden="false" customHeight="false" outlineLevel="0" collapsed="false">
      <c r="K29" s="1"/>
      <c r="L29" s="1"/>
    </row>
    <row r="30" customFormat="false" ht="12.8" hidden="false" customHeight="false" outlineLevel="0" collapsed="false">
      <c r="K30" s="1"/>
      <c r="L30" s="1"/>
    </row>
    <row r="31" customFormat="false" ht="12.8" hidden="false" customHeight="false" outlineLevel="0" collapsed="false">
      <c r="K31" s="1"/>
      <c r="L31" s="1"/>
    </row>
    <row r="32" customFormat="false" ht="12.8" hidden="false" customHeight="false" outlineLevel="0" collapsed="false">
      <c r="K32" s="1"/>
      <c r="L32" s="1"/>
    </row>
    <row r="33" customFormat="false" ht="12.8" hidden="false" customHeight="false" outlineLevel="0" collapsed="false">
      <c r="K33" s="1"/>
      <c r="L33" s="1"/>
    </row>
    <row r="34" customFormat="false" ht="12.8" hidden="false" customHeight="false" outlineLevel="0" collapsed="false">
      <c r="K34" s="1"/>
      <c r="L34" s="1"/>
    </row>
    <row r="35" customFormat="false" ht="12.8" hidden="false" customHeight="false" outlineLevel="0" collapsed="false">
      <c r="K35" s="1"/>
      <c r="L35" s="1"/>
    </row>
    <row r="36" customFormat="false" ht="12.8" hidden="false" customHeight="false" outlineLevel="0" collapsed="false">
      <c r="K36" s="1"/>
      <c r="L36" s="1"/>
    </row>
    <row r="37" customFormat="false" ht="12.8" hidden="false" customHeight="false" outlineLevel="0" collapsed="false">
      <c r="K37" s="1"/>
      <c r="L37" s="1"/>
    </row>
    <row r="38" customFormat="false" ht="12.8" hidden="false" customHeight="false" outlineLevel="0" collapsed="false">
      <c r="K38" s="1"/>
      <c r="L38" s="1"/>
    </row>
    <row r="39" customFormat="false" ht="12.8" hidden="false" customHeight="false" outlineLevel="0" collapsed="false">
      <c r="K39" s="1"/>
      <c r="L39" s="1"/>
    </row>
    <row r="40" customFormat="false" ht="12.8" hidden="false" customHeight="false" outlineLevel="0" collapsed="false">
      <c r="K40" s="1"/>
      <c r="L40" s="1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E13" activeCellId="1" sqref="L46:O46 E13"/>
    </sheetView>
  </sheetViews>
  <sheetFormatPr defaultColWidth="11.8046875" defaultRowHeight="12.8" zeroHeight="false" outlineLevelRow="0" outlineLevelCol="0"/>
  <cols>
    <col collapsed="false" customWidth="true" hidden="false" outlineLevel="0" max="2" min="2" style="88" width="7.68"/>
    <col collapsed="false" customWidth="true" hidden="false" outlineLevel="0" max="3" min="3" style="1" width="30.02"/>
    <col collapsed="false" customWidth="true" hidden="false" outlineLevel="0" max="4" min="4" style="1" width="7.84"/>
    <col collapsed="false" customWidth="true" hidden="false" outlineLevel="0" max="5" min="5" style="93" width="7.2"/>
    <col collapsed="false" customWidth="true" hidden="false" outlineLevel="0" max="6" min="6" style="1" width="10.97"/>
    <col collapsed="false" customWidth="true" hidden="false" outlineLevel="0" max="7" min="7" style="1" width="5.99"/>
    <col collapsed="false" customWidth="true" hidden="false" outlineLevel="0" max="9" min="8" style="1" width="7.2"/>
    <col collapsed="false" customWidth="true" hidden="false" outlineLevel="0" max="10" min="10" style="1" width="11.45"/>
  </cols>
  <sheetData>
    <row r="2" customFormat="false" ht="12.8" hidden="false" customHeight="false" outlineLevel="0" collapsed="false">
      <c r="B2" s="85" t="s">
        <v>410</v>
      </c>
      <c r="C2" s="85" t="s">
        <v>375</v>
      </c>
      <c r="D2" s="94" t="s">
        <v>411</v>
      </c>
      <c r="E2" s="85" t="s">
        <v>412</v>
      </c>
      <c r="F2" s="95" t="s">
        <v>413</v>
      </c>
      <c r="G2" s="85" t="s">
        <v>348</v>
      </c>
      <c r="H2" s="85" t="s">
        <v>414</v>
      </c>
      <c r="I2" s="85" t="s">
        <v>415</v>
      </c>
      <c r="J2" s="85" t="s">
        <v>416</v>
      </c>
    </row>
    <row r="3" customFormat="false" ht="12.8" hidden="false" customHeight="false" outlineLevel="0" collapsed="false">
      <c r="B3" s="96"/>
      <c r="C3" s="55" t="s">
        <v>417</v>
      </c>
      <c r="D3" s="97"/>
      <c r="E3" s="97"/>
      <c r="F3" s="98"/>
      <c r="G3" s="97"/>
      <c r="H3" s="97"/>
      <c r="I3" s="96"/>
      <c r="J3" s="96"/>
    </row>
    <row r="4" customFormat="false" ht="12.8" hidden="false" customHeight="false" outlineLevel="0" collapsed="false">
      <c r="B4" s="96"/>
      <c r="C4" s="55" t="s">
        <v>418</v>
      </c>
      <c r="D4" s="97"/>
      <c r="E4" s="97" t="s">
        <v>419</v>
      </c>
      <c r="F4" s="99"/>
      <c r="G4" s="96"/>
      <c r="H4" s="96"/>
      <c r="I4" s="97" t="s">
        <v>419</v>
      </c>
      <c r="J4" s="96"/>
    </row>
    <row r="5" customFormat="false" ht="12.8" hidden="false" customHeight="false" outlineLevel="0" collapsed="false">
      <c r="B5" s="100" t="s">
        <v>420</v>
      </c>
      <c r="C5" s="55" t="s">
        <v>421</v>
      </c>
      <c r="D5" s="97"/>
      <c r="E5" s="97"/>
      <c r="F5" s="99" t="s">
        <v>419</v>
      </c>
      <c r="G5" s="96"/>
      <c r="H5" s="96"/>
      <c r="I5" s="96"/>
      <c r="J5" s="96"/>
    </row>
    <row r="6" customFormat="false" ht="12.8" hidden="false" customHeight="false" outlineLevel="0" collapsed="false">
      <c r="B6" s="96"/>
      <c r="C6" s="55" t="s">
        <v>422</v>
      </c>
      <c r="D6" s="97"/>
      <c r="E6" s="97"/>
      <c r="F6" s="98"/>
      <c r="G6" s="96"/>
      <c r="H6" s="97"/>
      <c r="I6" s="97"/>
      <c r="J6" s="96"/>
    </row>
    <row r="7" customFormat="false" ht="12.8" hidden="false" customHeight="false" outlineLevel="0" collapsed="false">
      <c r="B7" s="100" t="s">
        <v>420</v>
      </c>
      <c r="C7" s="55" t="s">
        <v>423</v>
      </c>
      <c r="D7" s="97"/>
      <c r="E7" s="97" t="s">
        <v>419</v>
      </c>
      <c r="F7" s="99"/>
      <c r="G7" s="97"/>
      <c r="H7" s="97"/>
      <c r="I7" s="96"/>
      <c r="J7" s="96"/>
    </row>
    <row r="8" customFormat="false" ht="12.8" hidden="false" customHeight="false" outlineLevel="0" collapsed="false">
      <c r="B8" s="55"/>
      <c r="C8" s="55" t="s">
        <v>424</v>
      </c>
      <c r="D8" s="97"/>
      <c r="E8" s="97"/>
      <c r="F8" s="98"/>
      <c r="G8" s="96"/>
      <c r="H8" s="96"/>
      <c r="I8" s="97" t="s">
        <v>419</v>
      </c>
      <c r="J8" s="96"/>
    </row>
    <row r="9" customFormat="false" ht="12.8" hidden="false" customHeight="false" outlineLevel="0" collapsed="false">
      <c r="B9" s="55"/>
      <c r="C9" s="55" t="s">
        <v>425</v>
      </c>
      <c r="D9" s="97"/>
      <c r="E9" s="97"/>
      <c r="F9" s="98"/>
      <c r="G9" s="97"/>
      <c r="H9" s="97"/>
      <c r="I9" s="97"/>
      <c r="J9" s="96"/>
    </row>
    <row r="10" customFormat="false" ht="12.8" hidden="false" customHeight="false" outlineLevel="0" collapsed="false">
      <c r="B10" s="96"/>
      <c r="C10" s="55" t="s">
        <v>426</v>
      </c>
      <c r="D10" s="97"/>
      <c r="E10" s="97" t="s">
        <v>419</v>
      </c>
      <c r="F10" s="98"/>
      <c r="G10" s="96"/>
      <c r="H10" s="96"/>
      <c r="I10" s="96"/>
      <c r="J10" s="96"/>
    </row>
    <row r="11" customFormat="false" ht="12.8" hidden="false" customHeight="false" outlineLevel="0" collapsed="false">
      <c r="B11" s="100" t="s">
        <v>420</v>
      </c>
      <c r="C11" s="55" t="s">
        <v>427</v>
      </c>
      <c r="D11" s="97"/>
      <c r="E11" s="96"/>
      <c r="F11" s="99" t="s">
        <v>419</v>
      </c>
      <c r="G11" s="96"/>
      <c r="H11" s="96"/>
      <c r="I11" s="96"/>
      <c r="J11" s="96"/>
    </row>
    <row r="12" customFormat="false" ht="12.8" hidden="false" customHeight="false" outlineLevel="0" collapsed="false">
      <c r="B12" s="55"/>
      <c r="C12" s="55" t="s">
        <v>428</v>
      </c>
      <c r="D12" s="97"/>
      <c r="E12" s="97"/>
      <c r="F12" s="98"/>
      <c r="G12" s="97" t="s">
        <v>419</v>
      </c>
      <c r="H12" s="96"/>
      <c r="I12" s="96"/>
      <c r="J12" s="97"/>
    </row>
    <row r="13" customFormat="false" ht="12.8" hidden="false" customHeight="false" outlineLevel="0" collapsed="false">
      <c r="B13" s="96"/>
      <c r="C13" s="55" t="s">
        <v>429</v>
      </c>
      <c r="D13" s="97"/>
      <c r="E13" s="96"/>
      <c r="F13" s="98"/>
      <c r="G13" s="96"/>
      <c r="H13" s="96"/>
      <c r="I13" s="96"/>
      <c r="J13" s="96"/>
    </row>
    <row r="14" customFormat="false" ht="12.8" hidden="false" customHeight="false" outlineLevel="0" collapsed="false">
      <c r="B14" s="96"/>
      <c r="C14" s="55" t="s">
        <v>430</v>
      </c>
      <c r="D14" s="97"/>
      <c r="E14" s="96"/>
      <c r="F14" s="98"/>
      <c r="G14" s="96"/>
      <c r="H14" s="97" t="s">
        <v>419</v>
      </c>
      <c r="I14" s="96"/>
      <c r="J14" s="96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14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B9" activeCellId="1" sqref="L46:O46 B9"/>
    </sheetView>
  </sheetViews>
  <sheetFormatPr defaultColWidth="11.8046875" defaultRowHeight="12.8" zeroHeight="false" outlineLevelRow="0" outlineLevelCol="0"/>
  <cols>
    <col collapsed="false" customWidth="true" hidden="false" outlineLevel="0" max="2" min="2" style="1" width="33.39"/>
    <col collapsed="false" customWidth="true" hidden="false" outlineLevel="0" max="3" min="3" style="1" width="7.42"/>
    <col collapsed="false" customWidth="true" hidden="false" outlineLevel="0" max="4" min="4" style="1" width="7.54"/>
    <col collapsed="false" customWidth="true" hidden="false" outlineLevel="0" max="5" min="5" style="1" width="10.6"/>
  </cols>
  <sheetData>
    <row r="3" customFormat="false" ht="12.8" hidden="false" customHeight="false" outlineLevel="0" collapsed="false">
      <c r="B3" s="85" t="s">
        <v>431</v>
      </c>
      <c r="C3" s="94" t="s">
        <v>175</v>
      </c>
      <c r="D3" s="94" t="s">
        <v>410</v>
      </c>
      <c r="E3" s="85" t="s">
        <v>432</v>
      </c>
      <c r="G3" s="86" t="s">
        <v>433</v>
      </c>
      <c r="H3" s="86" t="s">
        <v>434</v>
      </c>
    </row>
    <row r="4" customFormat="false" ht="12.8" hidden="false" customHeight="false" outlineLevel="0" collapsed="false">
      <c r="B4" s="86" t="s">
        <v>435</v>
      </c>
      <c r="C4" s="87" t="n">
        <v>10</v>
      </c>
      <c r="D4" s="86"/>
      <c r="E4" s="87"/>
      <c r="G4" s="86" t="s">
        <v>436</v>
      </c>
      <c r="H4" s="86" t="s">
        <v>437</v>
      </c>
    </row>
    <row r="5" customFormat="false" ht="12.8" hidden="false" customHeight="false" outlineLevel="0" collapsed="false">
      <c r="B5" s="86" t="s">
        <v>438</v>
      </c>
      <c r="C5" s="87" t="n">
        <v>10</v>
      </c>
      <c r="D5" s="86"/>
      <c r="E5" s="87"/>
    </row>
    <row r="6" customFormat="false" ht="12.8" hidden="false" customHeight="false" outlineLevel="0" collapsed="false">
      <c r="B6" s="86" t="s">
        <v>439</v>
      </c>
      <c r="C6" s="87" t="n">
        <v>14</v>
      </c>
      <c r="D6" s="101"/>
      <c r="E6" s="87"/>
    </row>
    <row r="7" customFormat="false" ht="12.8" hidden="false" customHeight="false" outlineLevel="0" collapsed="false">
      <c r="B7" s="86" t="s">
        <v>440</v>
      </c>
      <c r="C7" s="87" t="n">
        <v>21</v>
      </c>
      <c r="D7" s="101"/>
      <c r="E7" s="87"/>
    </row>
    <row r="8" customFormat="false" ht="12.8" hidden="false" customHeight="false" outlineLevel="0" collapsed="false">
      <c r="B8" s="86" t="s">
        <v>441</v>
      </c>
      <c r="C8" s="87" t="n">
        <v>13</v>
      </c>
      <c r="D8" s="101"/>
      <c r="E8" s="87" t="n">
        <v>107</v>
      </c>
    </row>
    <row r="9" customFormat="false" ht="12.8" hidden="false" customHeight="false" outlineLevel="0" collapsed="false">
      <c r="B9" s="86"/>
      <c r="C9" s="87"/>
      <c r="D9" s="86"/>
      <c r="E9" s="87"/>
    </row>
    <row r="10" customFormat="false" ht="12.8" hidden="false" customHeight="false" outlineLevel="0" collapsed="false">
      <c r="B10" s="86"/>
      <c r="C10" s="87"/>
      <c r="D10" s="86"/>
      <c r="E10" s="87"/>
    </row>
    <row r="11" customFormat="false" ht="12.8" hidden="false" customHeight="false" outlineLevel="0" collapsed="false">
      <c r="B11" s="86"/>
      <c r="C11" s="87"/>
      <c r="D11" s="86"/>
      <c r="E11" s="87"/>
    </row>
    <row r="12" customFormat="false" ht="12.8" hidden="false" customHeight="false" outlineLevel="0" collapsed="false">
      <c r="B12" s="86"/>
      <c r="C12" s="87"/>
      <c r="D12" s="86"/>
      <c r="E12" s="87"/>
    </row>
    <row r="13" customFormat="false" ht="12.8" hidden="false" customHeight="false" outlineLevel="0" collapsed="false">
      <c r="B13" s="86"/>
      <c r="C13" s="87"/>
      <c r="D13" s="86"/>
      <c r="E13" s="87"/>
    </row>
    <row r="14" customFormat="false" ht="12.8" hidden="false" customHeight="false" outlineLevel="0" collapsed="false">
      <c r="B14" s="86"/>
      <c r="C14" s="87"/>
      <c r="D14" s="86"/>
      <c r="E14" s="87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8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0" ySplit="1" topLeftCell="A2" activePane="bottomLeft" state="frozen"/>
      <selection pane="topLeft" activeCell="A1" activeCellId="0" sqref="A1"/>
      <selection pane="bottomLeft" activeCell="B226" activeCellId="1" sqref="L46:O46 B226"/>
    </sheetView>
  </sheetViews>
  <sheetFormatPr defaultColWidth="11.8046875" defaultRowHeight="12.8" zeroHeight="false" outlineLevelRow="0" outlineLevelCol="0"/>
  <cols>
    <col collapsed="false" customWidth="true" hidden="false" outlineLevel="0" max="1" min="1" style="1" width="24.34"/>
    <col collapsed="false" customWidth="true" hidden="false" outlineLevel="0" max="2" min="2" style="1" width="32.57"/>
  </cols>
  <sheetData>
    <row r="1" customFormat="false" ht="12.8" hidden="false" customHeight="false" outlineLevel="0" collapsed="false">
      <c r="A1" s="85" t="s">
        <v>442</v>
      </c>
      <c r="B1" s="85" t="s">
        <v>443</v>
      </c>
    </row>
    <row r="2" customFormat="false" ht="12.8" hidden="false" customHeight="false" outlineLevel="0" collapsed="false">
      <c r="A2" s="86" t="s">
        <v>444</v>
      </c>
      <c r="B2" s="86" t="s">
        <v>445</v>
      </c>
    </row>
    <row r="3" customFormat="false" ht="12.8" hidden="false" customHeight="false" outlineLevel="0" collapsed="false">
      <c r="A3" s="86" t="s">
        <v>446</v>
      </c>
      <c r="B3" s="86" t="s">
        <v>445</v>
      </c>
    </row>
    <row r="4" customFormat="false" ht="12.8" hidden="false" customHeight="false" outlineLevel="0" collapsed="false">
      <c r="A4" s="102" t="s">
        <v>447</v>
      </c>
      <c r="B4" s="86" t="s">
        <v>445</v>
      </c>
    </row>
    <row r="5" customFormat="false" ht="12.8" hidden="false" customHeight="false" outlineLevel="0" collapsed="false">
      <c r="A5" s="86" t="s">
        <v>448</v>
      </c>
      <c r="B5" s="86" t="s">
        <v>445</v>
      </c>
    </row>
    <row r="6" customFormat="false" ht="12.8" hidden="false" customHeight="false" outlineLevel="0" collapsed="false">
      <c r="A6" s="86" t="s">
        <v>449</v>
      </c>
      <c r="B6" s="86" t="s">
        <v>445</v>
      </c>
    </row>
    <row r="7" customFormat="false" ht="12.8" hidden="false" customHeight="false" outlineLevel="0" collapsed="false">
      <c r="A7" s="86" t="s">
        <v>450</v>
      </c>
      <c r="B7" s="86" t="s">
        <v>445</v>
      </c>
    </row>
    <row r="8" customFormat="false" ht="12.8" hidden="false" customHeight="false" outlineLevel="0" collapsed="false">
      <c r="A8" s="86" t="s">
        <v>451</v>
      </c>
      <c r="B8" s="86" t="s">
        <v>445</v>
      </c>
    </row>
    <row r="9" customFormat="false" ht="12.8" hidden="false" customHeight="false" outlineLevel="0" collapsed="false">
      <c r="A9" s="86" t="s">
        <v>452</v>
      </c>
      <c r="B9" s="86" t="s">
        <v>445</v>
      </c>
    </row>
    <row r="10" customFormat="false" ht="12.8" hidden="false" customHeight="false" outlineLevel="0" collapsed="false">
      <c r="A10" s="86" t="s">
        <v>450</v>
      </c>
      <c r="B10" s="86" t="s">
        <v>445</v>
      </c>
    </row>
    <row r="11" customFormat="false" ht="12.8" hidden="false" customHeight="false" outlineLevel="0" collapsed="false">
      <c r="A11" s="102" t="s">
        <v>453</v>
      </c>
      <c r="B11" s="86" t="s">
        <v>454</v>
      </c>
    </row>
    <row r="12" customFormat="false" ht="12.8" hidden="false" customHeight="false" outlineLevel="0" collapsed="false">
      <c r="A12" s="86" t="s">
        <v>455</v>
      </c>
      <c r="B12" s="86" t="s">
        <v>454</v>
      </c>
    </row>
    <row r="13" customFormat="false" ht="12.8" hidden="false" customHeight="false" outlineLevel="0" collapsed="false">
      <c r="A13" s="86" t="s">
        <v>456</v>
      </c>
      <c r="B13" s="86" t="s">
        <v>454</v>
      </c>
    </row>
    <row r="14" customFormat="false" ht="12.8" hidden="false" customHeight="false" outlineLevel="0" collapsed="false">
      <c r="A14" s="86" t="s">
        <v>457</v>
      </c>
      <c r="B14" s="86" t="s">
        <v>454</v>
      </c>
    </row>
    <row r="15" customFormat="false" ht="12.8" hidden="false" customHeight="false" outlineLevel="0" collapsed="false">
      <c r="A15" s="86" t="s">
        <v>458</v>
      </c>
      <c r="B15" s="86" t="s">
        <v>454</v>
      </c>
    </row>
    <row r="16" customFormat="false" ht="12.8" hidden="false" customHeight="false" outlineLevel="0" collapsed="false">
      <c r="A16" s="86" t="s">
        <v>459</v>
      </c>
      <c r="B16" s="86" t="s">
        <v>454</v>
      </c>
    </row>
    <row r="17" customFormat="false" ht="12.8" hidden="false" customHeight="false" outlineLevel="0" collapsed="false">
      <c r="A17" s="86" t="s">
        <v>460</v>
      </c>
      <c r="B17" s="86" t="s">
        <v>454</v>
      </c>
    </row>
    <row r="18" customFormat="false" ht="12.8" hidden="false" customHeight="false" outlineLevel="0" collapsed="false">
      <c r="A18" s="86" t="s">
        <v>461</v>
      </c>
      <c r="B18" s="86" t="s">
        <v>454</v>
      </c>
    </row>
    <row r="19" customFormat="false" ht="12.8" hidden="false" customHeight="false" outlineLevel="0" collapsed="false">
      <c r="A19" s="86" t="s">
        <v>462</v>
      </c>
      <c r="B19" s="86" t="s">
        <v>454</v>
      </c>
    </row>
    <row r="20" customFormat="false" ht="12.8" hidden="false" customHeight="false" outlineLevel="0" collapsed="false">
      <c r="A20" s="86" t="s">
        <v>463</v>
      </c>
      <c r="B20" s="86" t="s">
        <v>464</v>
      </c>
    </row>
    <row r="21" customFormat="false" ht="12.8" hidden="false" customHeight="false" outlineLevel="0" collapsed="false">
      <c r="A21" s="86" t="s">
        <v>448</v>
      </c>
      <c r="B21" s="86" t="s">
        <v>464</v>
      </c>
    </row>
    <row r="22" customFormat="false" ht="12.8" hidden="false" customHeight="false" outlineLevel="0" collapsed="false">
      <c r="A22" s="86" t="s">
        <v>449</v>
      </c>
      <c r="B22" s="86" t="s">
        <v>464</v>
      </c>
    </row>
    <row r="23" customFormat="false" ht="12.8" hidden="false" customHeight="false" outlineLevel="0" collapsed="false">
      <c r="A23" s="86" t="s">
        <v>465</v>
      </c>
      <c r="B23" s="86" t="s">
        <v>464</v>
      </c>
    </row>
    <row r="24" customFormat="false" ht="12.8" hidden="false" customHeight="false" outlineLevel="0" collapsed="false">
      <c r="A24" s="86" t="s">
        <v>466</v>
      </c>
      <c r="B24" s="86" t="s">
        <v>464</v>
      </c>
    </row>
    <row r="25" customFormat="false" ht="12.8" hidden="false" customHeight="false" outlineLevel="0" collapsed="false">
      <c r="A25" s="86" t="s">
        <v>467</v>
      </c>
      <c r="B25" s="86" t="s">
        <v>464</v>
      </c>
    </row>
    <row r="26" customFormat="false" ht="12.8" hidden="false" customHeight="false" outlineLevel="0" collapsed="false">
      <c r="A26" s="86" t="s">
        <v>468</v>
      </c>
      <c r="B26" s="86" t="s">
        <v>469</v>
      </c>
    </row>
    <row r="27" customFormat="false" ht="12.8" hidden="false" customHeight="false" outlineLevel="0" collapsed="false">
      <c r="A27" s="86" t="s">
        <v>470</v>
      </c>
      <c r="B27" s="86" t="s">
        <v>469</v>
      </c>
    </row>
    <row r="28" customFormat="false" ht="12.8" hidden="false" customHeight="false" outlineLevel="0" collapsed="false">
      <c r="A28" s="86" t="s">
        <v>471</v>
      </c>
      <c r="B28" s="86" t="s">
        <v>469</v>
      </c>
    </row>
    <row r="29" customFormat="false" ht="12.8" hidden="false" customHeight="false" outlineLevel="0" collapsed="false">
      <c r="A29" s="86" t="s">
        <v>472</v>
      </c>
      <c r="B29" s="86" t="s">
        <v>469</v>
      </c>
    </row>
    <row r="30" customFormat="false" ht="12.8" hidden="false" customHeight="false" outlineLevel="0" collapsed="false">
      <c r="A30" s="86" t="s">
        <v>473</v>
      </c>
      <c r="B30" s="86" t="s">
        <v>469</v>
      </c>
    </row>
    <row r="31" customFormat="false" ht="12.8" hidden="false" customHeight="false" outlineLevel="0" collapsed="false">
      <c r="A31" s="86" t="s">
        <v>474</v>
      </c>
      <c r="B31" s="86" t="s">
        <v>469</v>
      </c>
    </row>
    <row r="32" customFormat="false" ht="12.8" hidden="false" customHeight="false" outlineLevel="0" collapsed="false">
      <c r="A32" s="102" t="s">
        <v>475</v>
      </c>
      <c r="B32" s="86" t="s">
        <v>476</v>
      </c>
    </row>
    <row r="33" customFormat="false" ht="12.8" hidden="false" customHeight="false" outlineLevel="0" collapsed="false">
      <c r="A33" s="86" t="s">
        <v>473</v>
      </c>
      <c r="B33" s="86" t="s">
        <v>476</v>
      </c>
    </row>
    <row r="34" customFormat="false" ht="12.8" hidden="false" customHeight="false" outlineLevel="0" collapsed="false">
      <c r="A34" s="86" t="s">
        <v>477</v>
      </c>
      <c r="B34" s="86" t="s">
        <v>476</v>
      </c>
    </row>
    <row r="35" customFormat="false" ht="12.8" hidden="false" customHeight="false" outlineLevel="0" collapsed="false">
      <c r="A35" s="86" t="s">
        <v>446</v>
      </c>
      <c r="B35" s="86" t="s">
        <v>476</v>
      </c>
    </row>
    <row r="36" customFormat="false" ht="12.8" hidden="false" customHeight="false" outlineLevel="0" collapsed="false">
      <c r="A36" s="102" t="s">
        <v>447</v>
      </c>
      <c r="B36" s="86" t="s">
        <v>476</v>
      </c>
    </row>
    <row r="37" customFormat="false" ht="12.8" hidden="false" customHeight="false" outlineLevel="0" collapsed="false">
      <c r="A37" s="86" t="s">
        <v>449</v>
      </c>
      <c r="B37" s="86" t="s">
        <v>476</v>
      </c>
    </row>
    <row r="38" customFormat="false" ht="12.8" hidden="false" customHeight="false" outlineLevel="0" collapsed="false">
      <c r="A38" s="86" t="s">
        <v>478</v>
      </c>
      <c r="B38" s="86" t="s">
        <v>476</v>
      </c>
    </row>
    <row r="39" customFormat="false" ht="12.8" hidden="false" customHeight="false" outlineLevel="0" collapsed="false">
      <c r="A39" s="86" t="s">
        <v>479</v>
      </c>
      <c r="B39" s="86" t="s">
        <v>476</v>
      </c>
    </row>
    <row r="40" customFormat="false" ht="12.8" hidden="false" customHeight="false" outlineLevel="0" collapsed="false">
      <c r="A40" s="86" t="s">
        <v>480</v>
      </c>
      <c r="B40" s="86" t="s">
        <v>476</v>
      </c>
    </row>
    <row r="41" customFormat="false" ht="12.8" hidden="false" customHeight="false" outlineLevel="0" collapsed="false">
      <c r="A41" s="86" t="s">
        <v>481</v>
      </c>
      <c r="B41" s="86" t="s">
        <v>476</v>
      </c>
    </row>
    <row r="42" customFormat="false" ht="12.8" hidden="false" customHeight="false" outlineLevel="0" collapsed="false">
      <c r="A42" s="86" t="s">
        <v>482</v>
      </c>
      <c r="B42" s="86" t="s">
        <v>476</v>
      </c>
    </row>
    <row r="43" customFormat="false" ht="12.8" hidden="false" customHeight="false" outlineLevel="0" collapsed="false">
      <c r="A43" s="86" t="s">
        <v>483</v>
      </c>
      <c r="B43" s="86" t="s">
        <v>476</v>
      </c>
    </row>
    <row r="44" customFormat="false" ht="12.8" hidden="false" customHeight="false" outlineLevel="0" collapsed="false">
      <c r="A44" s="86" t="s">
        <v>484</v>
      </c>
      <c r="B44" s="86" t="s">
        <v>476</v>
      </c>
    </row>
    <row r="45" customFormat="false" ht="12.8" hidden="false" customHeight="false" outlineLevel="0" collapsed="false">
      <c r="A45" s="86" t="s">
        <v>485</v>
      </c>
      <c r="B45" s="86" t="s">
        <v>476</v>
      </c>
    </row>
    <row r="46" customFormat="false" ht="12.8" hidden="false" customHeight="false" outlineLevel="0" collapsed="false">
      <c r="A46" s="86" t="s">
        <v>486</v>
      </c>
      <c r="B46" s="86" t="s">
        <v>476</v>
      </c>
    </row>
    <row r="47" customFormat="false" ht="12.8" hidden="false" customHeight="false" outlineLevel="0" collapsed="false">
      <c r="A47" s="86" t="s">
        <v>461</v>
      </c>
      <c r="B47" s="86" t="s">
        <v>476</v>
      </c>
    </row>
    <row r="48" customFormat="false" ht="12.8" hidden="false" customHeight="false" outlineLevel="0" collapsed="false">
      <c r="A48" s="86" t="s">
        <v>472</v>
      </c>
      <c r="B48" s="86" t="s">
        <v>487</v>
      </c>
    </row>
    <row r="49" customFormat="false" ht="12.8" hidden="false" customHeight="false" outlineLevel="0" collapsed="false">
      <c r="A49" s="86" t="s">
        <v>473</v>
      </c>
      <c r="B49" s="86" t="s">
        <v>487</v>
      </c>
    </row>
    <row r="50" customFormat="false" ht="12.8" hidden="false" customHeight="false" outlineLevel="0" collapsed="false">
      <c r="A50" s="86" t="s">
        <v>485</v>
      </c>
      <c r="B50" s="86" t="s">
        <v>487</v>
      </c>
    </row>
    <row r="51" customFormat="false" ht="12.8" hidden="false" customHeight="false" outlineLevel="0" collapsed="false">
      <c r="A51" s="86" t="s">
        <v>488</v>
      </c>
      <c r="B51" s="86" t="s">
        <v>487</v>
      </c>
    </row>
    <row r="52" customFormat="false" ht="12.8" hidden="false" customHeight="false" outlineLevel="0" collapsed="false">
      <c r="A52" s="86" t="s">
        <v>449</v>
      </c>
      <c r="B52" s="86" t="s">
        <v>487</v>
      </c>
    </row>
    <row r="53" customFormat="false" ht="12.8" hidden="false" customHeight="false" outlineLevel="0" collapsed="false">
      <c r="A53" s="86" t="s">
        <v>465</v>
      </c>
      <c r="B53" s="86" t="s">
        <v>487</v>
      </c>
    </row>
    <row r="54" customFormat="false" ht="12.8" hidden="false" customHeight="false" outlineLevel="0" collapsed="false">
      <c r="A54" s="86" t="s">
        <v>489</v>
      </c>
      <c r="B54" s="86" t="s">
        <v>487</v>
      </c>
    </row>
    <row r="55" customFormat="false" ht="12.8" hidden="false" customHeight="false" outlineLevel="0" collapsed="false">
      <c r="A55" s="86" t="s">
        <v>490</v>
      </c>
      <c r="B55" s="86" t="s">
        <v>487</v>
      </c>
    </row>
    <row r="56" customFormat="false" ht="12.8" hidden="false" customHeight="false" outlineLevel="0" collapsed="false">
      <c r="A56" s="86" t="s">
        <v>491</v>
      </c>
      <c r="B56" s="86" t="s">
        <v>487</v>
      </c>
    </row>
    <row r="57" customFormat="false" ht="12.8" hidden="false" customHeight="false" outlineLevel="0" collapsed="false">
      <c r="A57" s="102" t="s">
        <v>492</v>
      </c>
      <c r="B57" s="86" t="s">
        <v>493</v>
      </c>
    </row>
    <row r="58" customFormat="false" ht="12.8" hidden="false" customHeight="false" outlineLevel="0" collapsed="false">
      <c r="A58" s="86" t="s">
        <v>494</v>
      </c>
      <c r="B58" s="86" t="s">
        <v>493</v>
      </c>
    </row>
    <row r="59" customFormat="false" ht="12.8" hidden="false" customHeight="false" outlineLevel="0" collapsed="false">
      <c r="A59" s="86" t="s">
        <v>495</v>
      </c>
      <c r="B59" s="86" t="s">
        <v>493</v>
      </c>
    </row>
    <row r="60" customFormat="false" ht="12.8" hidden="false" customHeight="false" outlineLevel="0" collapsed="false">
      <c r="A60" s="86" t="s">
        <v>496</v>
      </c>
      <c r="B60" s="86" t="s">
        <v>493</v>
      </c>
    </row>
    <row r="61" customFormat="false" ht="12.8" hidden="false" customHeight="false" outlineLevel="0" collapsed="false">
      <c r="A61" s="86" t="s">
        <v>497</v>
      </c>
      <c r="B61" s="86" t="s">
        <v>493</v>
      </c>
    </row>
    <row r="62" customFormat="false" ht="12.8" hidden="false" customHeight="false" outlineLevel="0" collapsed="false">
      <c r="A62" s="86" t="s">
        <v>448</v>
      </c>
      <c r="B62" s="86" t="s">
        <v>493</v>
      </c>
    </row>
    <row r="63" customFormat="false" ht="12.8" hidden="false" customHeight="false" outlineLevel="0" collapsed="false">
      <c r="A63" s="86" t="s">
        <v>488</v>
      </c>
      <c r="B63" s="86" t="s">
        <v>493</v>
      </c>
    </row>
    <row r="64" customFormat="false" ht="12.8" hidden="false" customHeight="false" outlineLevel="0" collapsed="false">
      <c r="A64" s="86" t="s">
        <v>498</v>
      </c>
      <c r="B64" s="86" t="s">
        <v>493</v>
      </c>
    </row>
    <row r="65" customFormat="false" ht="12.8" hidden="false" customHeight="false" outlineLevel="0" collapsed="false">
      <c r="A65" s="86" t="s">
        <v>499</v>
      </c>
      <c r="B65" s="86" t="s">
        <v>493</v>
      </c>
    </row>
    <row r="66" customFormat="false" ht="12.8" hidden="false" customHeight="false" outlineLevel="0" collapsed="false">
      <c r="A66" s="102" t="s">
        <v>500</v>
      </c>
      <c r="B66" s="86" t="s">
        <v>493</v>
      </c>
    </row>
    <row r="67" customFormat="false" ht="12.8" hidden="false" customHeight="false" outlineLevel="0" collapsed="false">
      <c r="A67" s="86" t="s">
        <v>452</v>
      </c>
      <c r="B67" s="86" t="s">
        <v>493</v>
      </c>
    </row>
    <row r="68" customFormat="false" ht="12.8" hidden="false" customHeight="false" outlineLevel="0" collapsed="false">
      <c r="A68" s="86" t="s">
        <v>482</v>
      </c>
      <c r="B68" s="86" t="s">
        <v>493</v>
      </c>
    </row>
    <row r="69" customFormat="false" ht="12.8" hidden="false" customHeight="false" outlineLevel="0" collapsed="false">
      <c r="A69" s="86" t="s">
        <v>483</v>
      </c>
      <c r="B69" s="86" t="s">
        <v>493</v>
      </c>
    </row>
    <row r="70" customFormat="false" ht="12.8" hidden="false" customHeight="false" outlineLevel="0" collapsed="false">
      <c r="A70" s="86" t="s">
        <v>495</v>
      </c>
      <c r="B70" s="86" t="s">
        <v>501</v>
      </c>
    </row>
    <row r="71" customFormat="false" ht="12.8" hidden="false" customHeight="false" outlineLevel="0" collapsed="false">
      <c r="A71" s="86" t="s">
        <v>502</v>
      </c>
      <c r="B71" s="86" t="s">
        <v>501</v>
      </c>
    </row>
    <row r="72" customFormat="false" ht="12.8" hidden="false" customHeight="false" outlineLevel="0" collapsed="false">
      <c r="A72" s="86" t="s">
        <v>503</v>
      </c>
      <c r="B72" s="86" t="s">
        <v>501</v>
      </c>
    </row>
    <row r="73" customFormat="false" ht="12.8" hidden="false" customHeight="false" outlineLevel="0" collapsed="false">
      <c r="A73" s="86" t="s">
        <v>504</v>
      </c>
      <c r="B73" s="86" t="s">
        <v>501</v>
      </c>
    </row>
    <row r="74" customFormat="false" ht="12.8" hidden="false" customHeight="false" outlineLevel="0" collapsed="false">
      <c r="A74" s="86" t="s">
        <v>473</v>
      </c>
      <c r="B74" s="86" t="s">
        <v>501</v>
      </c>
    </row>
    <row r="75" customFormat="false" ht="12.8" hidden="false" customHeight="false" outlineLevel="0" collapsed="false">
      <c r="A75" s="86" t="s">
        <v>456</v>
      </c>
      <c r="B75" s="86" t="s">
        <v>501</v>
      </c>
    </row>
    <row r="76" customFormat="false" ht="12.8" hidden="false" customHeight="false" outlineLevel="0" collapsed="false">
      <c r="A76" s="86" t="s">
        <v>488</v>
      </c>
      <c r="B76" s="86" t="s">
        <v>501</v>
      </c>
    </row>
    <row r="77" customFormat="false" ht="12.8" hidden="false" customHeight="false" outlineLevel="0" collapsed="false">
      <c r="A77" s="86" t="s">
        <v>478</v>
      </c>
      <c r="B77" s="86" t="s">
        <v>501</v>
      </c>
    </row>
    <row r="78" customFormat="false" ht="12.8" hidden="false" customHeight="false" outlineLevel="0" collapsed="false">
      <c r="A78" s="86" t="s">
        <v>482</v>
      </c>
      <c r="B78" s="86" t="s">
        <v>501</v>
      </c>
    </row>
    <row r="79" customFormat="false" ht="12.8" hidden="false" customHeight="false" outlineLevel="0" collapsed="false">
      <c r="A79" s="86" t="s">
        <v>483</v>
      </c>
      <c r="B79" s="86" t="s">
        <v>501</v>
      </c>
    </row>
    <row r="80" customFormat="false" ht="12.8" hidden="false" customHeight="false" outlineLevel="0" collapsed="false">
      <c r="A80" s="86" t="s">
        <v>495</v>
      </c>
      <c r="B80" s="86" t="s">
        <v>505</v>
      </c>
    </row>
    <row r="81" customFormat="false" ht="12.8" hidden="false" customHeight="false" outlineLevel="0" collapsed="false">
      <c r="A81" s="86" t="s">
        <v>470</v>
      </c>
      <c r="B81" s="86" t="s">
        <v>505</v>
      </c>
    </row>
    <row r="82" customFormat="false" ht="12.8" hidden="false" customHeight="false" outlineLevel="0" collapsed="false">
      <c r="A82" s="102" t="s">
        <v>506</v>
      </c>
      <c r="B82" s="86" t="s">
        <v>505</v>
      </c>
    </row>
    <row r="83" customFormat="false" ht="12.8" hidden="false" customHeight="false" outlineLevel="0" collapsed="false">
      <c r="A83" s="102" t="s">
        <v>475</v>
      </c>
      <c r="B83" s="86" t="s">
        <v>505</v>
      </c>
    </row>
    <row r="84" customFormat="false" ht="12.8" hidden="false" customHeight="false" outlineLevel="0" collapsed="false">
      <c r="A84" s="86" t="s">
        <v>472</v>
      </c>
      <c r="B84" s="86" t="s">
        <v>505</v>
      </c>
    </row>
    <row r="85" customFormat="false" ht="12.8" hidden="false" customHeight="false" outlineLevel="0" collapsed="false">
      <c r="A85" s="86" t="s">
        <v>473</v>
      </c>
      <c r="B85" s="86" t="s">
        <v>505</v>
      </c>
    </row>
    <row r="86" customFormat="false" ht="12.8" hidden="false" customHeight="false" outlineLevel="0" collapsed="false">
      <c r="A86" s="86" t="s">
        <v>488</v>
      </c>
      <c r="B86" s="86" t="s">
        <v>505</v>
      </c>
    </row>
    <row r="87" customFormat="false" ht="12.8" hidden="false" customHeight="false" outlineLevel="0" collapsed="false">
      <c r="A87" s="86" t="s">
        <v>499</v>
      </c>
      <c r="B87" s="86" t="s">
        <v>505</v>
      </c>
    </row>
    <row r="88" customFormat="false" ht="12.8" hidden="false" customHeight="false" outlineLevel="0" collapsed="false">
      <c r="A88" s="86" t="s">
        <v>507</v>
      </c>
      <c r="B88" s="86" t="s">
        <v>505</v>
      </c>
    </row>
    <row r="89" customFormat="false" ht="12.8" hidden="false" customHeight="false" outlineLevel="0" collapsed="false">
      <c r="A89" s="86" t="s">
        <v>508</v>
      </c>
      <c r="B89" s="86" t="s">
        <v>505</v>
      </c>
    </row>
    <row r="90" customFormat="false" ht="12.8" hidden="false" customHeight="false" outlineLevel="0" collapsed="false">
      <c r="A90" s="86" t="s">
        <v>452</v>
      </c>
      <c r="B90" s="86" t="s">
        <v>505</v>
      </c>
    </row>
    <row r="91" customFormat="false" ht="12.8" hidden="false" customHeight="false" outlineLevel="0" collapsed="false">
      <c r="A91" s="86" t="s">
        <v>460</v>
      </c>
      <c r="B91" s="86" t="s">
        <v>505</v>
      </c>
    </row>
    <row r="92" customFormat="false" ht="12.8" hidden="false" customHeight="false" outlineLevel="0" collapsed="false">
      <c r="A92" s="86" t="s">
        <v>483</v>
      </c>
      <c r="B92" s="86" t="s">
        <v>505</v>
      </c>
    </row>
    <row r="93" customFormat="false" ht="12.8" hidden="false" customHeight="false" outlineLevel="0" collapsed="false">
      <c r="A93" s="86" t="s">
        <v>509</v>
      </c>
      <c r="B93" s="86" t="s">
        <v>505</v>
      </c>
    </row>
    <row r="94" customFormat="false" ht="12.8" hidden="false" customHeight="false" outlineLevel="0" collapsed="false">
      <c r="A94" s="86" t="s">
        <v>490</v>
      </c>
      <c r="B94" s="86" t="s">
        <v>505</v>
      </c>
    </row>
    <row r="95" customFormat="false" ht="12.8" hidden="false" customHeight="false" outlineLevel="0" collapsed="false">
      <c r="A95" s="86" t="s">
        <v>510</v>
      </c>
      <c r="B95" s="86" t="s">
        <v>505</v>
      </c>
    </row>
    <row r="96" customFormat="false" ht="12.8" hidden="false" customHeight="false" outlineLevel="0" collapsed="false">
      <c r="A96" s="86" t="s">
        <v>461</v>
      </c>
      <c r="B96" s="86" t="s">
        <v>505</v>
      </c>
    </row>
    <row r="97" customFormat="false" ht="12.8" hidden="false" customHeight="false" outlineLevel="0" collapsed="false">
      <c r="A97" s="86" t="s">
        <v>485</v>
      </c>
      <c r="B97" s="86" t="s">
        <v>505</v>
      </c>
    </row>
    <row r="98" customFormat="false" ht="12.8" hidden="false" customHeight="false" outlineLevel="0" collapsed="false">
      <c r="A98" s="102" t="s">
        <v>500</v>
      </c>
      <c r="B98" s="86" t="s">
        <v>511</v>
      </c>
    </row>
    <row r="99" customFormat="false" ht="12.8" hidden="false" customHeight="false" outlineLevel="0" collapsed="false">
      <c r="A99" s="102" t="s">
        <v>453</v>
      </c>
      <c r="B99" s="86" t="s">
        <v>511</v>
      </c>
    </row>
    <row r="100" customFormat="false" ht="12.8" hidden="false" customHeight="false" outlineLevel="0" collapsed="false">
      <c r="A100" s="86" t="s">
        <v>456</v>
      </c>
      <c r="B100" s="86" t="s">
        <v>511</v>
      </c>
    </row>
    <row r="101" customFormat="false" ht="12.8" hidden="false" customHeight="false" outlineLevel="0" collapsed="false">
      <c r="A101" s="86" t="s">
        <v>480</v>
      </c>
      <c r="B101" s="86" t="s">
        <v>511</v>
      </c>
    </row>
    <row r="102" customFormat="false" ht="12.8" hidden="false" customHeight="false" outlineLevel="0" collapsed="false">
      <c r="A102" s="86" t="s">
        <v>482</v>
      </c>
      <c r="B102" s="86" t="s">
        <v>511</v>
      </c>
    </row>
    <row r="103" customFormat="false" ht="12.8" hidden="false" customHeight="false" outlineLevel="0" collapsed="false">
      <c r="A103" s="86" t="s">
        <v>474</v>
      </c>
      <c r="B103" s="86" t="s">
        <v>511</v>
      </c>
    </row>
    <row r="104" customFormat="false" ht="12.8" hidden="false" customHeight="false" outlineLevel="0" collapsed="false">
      <c r="A104" s="86" t="s">
        <v>512</v>
      </c>
      <c r="B104" s="86" t="s">
        <v>511</v>
      </c>
    </row>
    <row r="105" customFormat="false" ht="12.8" hidden="false" customHeight="false" outlineLevel="0" collapsed="false">
      <c r="A105" s="86" t="s">
        <v>497</v>
      </c>
      <c r="B105" s="86" t="s">
        <v>511</v>
      </c>
    </row>
    <row r="106" customFormat="false" ht="12.8" hidden="false" customHeight="false" outlineLevel="0" collapsed="false">
      <c r="A106" s="86" t="s">
        <v>452</v>
      </c>
      <c r="B106" s="86" t="s">
        <v>511</v>
      </c>
    </row>
    <row r="107" customFormat="false" ht="12.8" hidden="false" customHeight="false" outlineLevel="0" collapsed="false">
      <c r="A107" s="86" t="s">
        <v>499</v>
      </c>
      <c r="B107" s="86" t="s">
        <v>511</v>
      </c>
    </row>
    <row r="108" customFormat="false" ht="12.8" hidden="false" customHeight="false" outlineLevel="0" collapsed="false">
      <c r="A108" s="86" t="s">
        <v>513</v>
      </c>
      <c r="B108" s="86" t="s">
        <v>511</v>
      </c>
    </row>
    <row r="109" customFormat="false" ht="12.8" hidden="false" customHeight="false" outlineLevel="0" collapsed="false">
      <c r="A109" s="86" t="s">
        <v>471</v>
      </c>
      <c r="B109" s="86" t="s">
        <v>511</v>
      </c>
    </row>
    <row r="110" customFormat="false" ht="12.8" hidden="false" customHeight="false" outlineLevel="0" collapsed="false">
      <c r="A110" s="86" t="s">
        <v>509</v>
      </c>
      <c r="B110" s="86" t="s">
        <v>511</v>
      </c>
    </row>
    <row r="111" customFormat="false" ht="12.8" hidden="false" customHeight="false" outlineLevel="0" collapsed="false">
      <c r="A111" s="86" t="s">
        <v>472</v>
      </c>
      <c r="B111" s="86" t="s">
        <v>514</v>
      </c>
    </row>
    <row r="112" customFormat="false" ht="12.8" hidden="false" customHeight="false" outlineLevel="0" collapsed="false">
      <c r="A112" s="86" t="s">
        <v>473</v>
      </c>
      <c r="B112" s="86" t="s">
        <v>514</v>
      </c>
    </row>
    <row r="113" customFormat="false" ht="12.8" hidden="false" customHeight="false" outlineLevel="0" collapsed="false">
      <c r="A113" s="86" t="s">
        <v>449</v>
      </c>
      <c r="B113" s="86" t="s">
        <v>514</v>
      </c>
    </row>
    <row r="114" customFormat="false" ht="12.8" hidden="false" customHeight="false" outlineLevel="0" collapsed="false">
      <c r="A114" s="86" t="s">
        <v>465</v>
      </c>
      <c r="B114" s="86" t="s">
        <v>514</v>
      </c>
    </row>
    <row r="115" customFormat="false" ht="12.8" hidden="false" customHeight="false" outlineLevel="0" collapsed="false">
      <c r="A115" s="86" t="s">
        <v>466</v>
      </c>
      <c r="B115" s="86" t="s">
        <v>514</v>
      </c>
    </row>
    <row r="116" customFormat="false" ht="12.8" hidden="false" customHeight="false" outlineLevel="0" collapsed="false">
      <c r="A116" s="86" t="s">
        <v>481</v>
      </c>
      <c r="B116" s="86" t="s">
        <v>514</v>
      </c>
    </row>
    <row r="117" customFormat="false" ht="12.8" hidden="false" customHeight="false" outlineLevel="0" collapsed="false">
      <c r="A117" s="86" t="s">
        <v>489</v>
      </c>
      <c r="B117" s="86" t="s">
        <v>514</v>
      </c>
    </row>
    <row r="118" customFormat="false" ht="12.8" hidden="false" customHeight="false" outlineLevel="0" collapsed="false">
      <c r="A118" s="86" t="s">
        <v>515</v>
      </c>
      <c r="B118" s="86" t="s">
        <v>516</v>
      </c>
    </row>
    <row r="119" customFormat="false" ht="12.8" hidden="false" customHeight="false" outlineLevel="0" collapsed="false">
      <c r="A119" s="86" t="s">
        <v>517</v>
      </c>
      <c r="B119" s="86" t="s">
        <v>516</v>
      </c>
    </row>
    <row r="120" customFormat="false" ht="12.8" hidden="false" customHeight="false" outlineLevel="0" collapsed="false">
      <c r="A120" s="86" t="s">
        <v>513</v>
      </c>
      <c r="B120" s="86" t="s">
        <v>516</v>
      </c>
    </row>
    <row r="121" customFormat="false" ht="12.8" hidden="false" customHeight="false" outlineLevel="0" collapsed="false">
      <c r="A121" s="86" t="s">
        <v>497</v>
      </c>
      <c r="B121" s="86" t="s">
        <v>516</v>
      </c>
    </row>
    <row r="122" customFormat="false" ht="12.8" hidden="false" customHeight="false" outlineLevel="0" collapsed="false">
      <c r="A122" s="86" t="s">
        <v>518</v>
      </c>
      <c r="B122" s="86" t="s">
        <v>516</v>
      </c>
    </row>
    <row r="123" customFormat="false" ht="12.8" hidden="false" customHeight="false" outlineLevel="0" collapsed="false">
      <c r="A123" s="86" t="s">
        <v>455</v>
      </c>
      <c r="B123" s="86" t="s">
        <v>516</v>
      </c>
    </row>
    <row r="124" customFormat="false" ht="12.8" hidden="false" customHeight="false" outlineLevel="0" collapsed="false">
      <c r="A124" s="86" t="s">
        <v>456</v>
      </c>
      <c r="B124" s="86" t="s">
        <v>516</v>
      </c>
    </row>
    <row r="125" customFormat="false" ht="12.8" hidden="false" customHeight="false" outlineLevel="0" collapsed="false">
      <c r="A125" s="86" t="s">
        <v>457</v>
      </c>
      <c r="B125" s="86" t="s">
        <v>516</v>
      </c>
    </row>
    <row r="126" customFormat="false" ht="12.8" hidden="false" customHeight="false" outlineLevel="0" collapsed="false">
      <c r="A126" s="86" t="s">
        <v>448</v>
      </c>
      <c r="B126" s="86" t="s">
        <v>516</v>
      </c>
    </row>
    <row r="127" customFormat="false" ht="12.8" hidden="false" customHeight="false" outlineLevel="0" collapsed="false">
      <c r="A127" s="86" t="s">
        <v>478</v>
      </c>
      <c r="B127" s="86" t="s">
        <v>516</v>
      </c>
    </row>
    <row r="128" customFormat="false" ht="12.8" hidden="false" customHeight="false" outlineLevel="0" collapsed="false">
      <c r="A128" s="86" t="s">
        <v>519</v>
      </c>
      <c r="B128" s="86" t="s">
        <v>516</v>
      </c>
    </row>
    <row r="129" customFormat="false" ht="12.8" hidden="false" customHeight="false" outlineLevel="0" collapsed="false">
      <c r="A129" s="86" t="s">
        <v>520</v>
      </c>
      <c r="B129" s="86" t="s">
        <v>516</v>
      </c>
    </row>
    <row r="130" customFormat="false" ht="12.8" hidden="false" customHeight="false" outlineLevel="0" collapsed="false">
      <c r="A130" s="86" t="s">
        <v>460</v>
      </c>
      <c r="B130" s="86" t="s">
        <v>516</v>
      </c>
    </row>
    <row r="131" customFormat="false" ht="12.8" hidden="false" customHeight="false" outlineLevel="0" collapsed="false">
      <c r="A131" s="86" t="s">
        <v>521</v>
      </c>
      <c r="B131" s="86" t="s">
        <v>516</v>
      </c>
    </row>
    <row r="132" customFormat="false" ht="12.8" hidden="false" customHeight="false" outlineLevel="0" collapsed="false">
      <c r="A132" s="86" t="s">
        <v>494</v>
      </c>
      <c r="B132" s="86" t="s">
        <v>522</v>
      </c>
    </row>
    <row r="133" customFormat="false" ht="12.8" hidden="false" customHeight="false" outlineLevel="0" collapsed="false">
      <c r="A133" s="102" t="s">
        <v>523</v>
      </c>
      <c r="B133" s="86" t="s">
        <v>522</v>
      </c>
    </row>
    <row r="134" customFormat="false" ht="12.8" hidden="false" customHeight="false" outlineLevel="0" collapsed="false">
      <c r="A134" s="86" t="s">
        <v>470</v>
      </c>
      <c r="B134" s="86" t="s">
        <v>522</v>
      </c>
    </row>
    <row r="135" customFormat="false" ht="12.8" hidden="false" customHeight="false" outlineLevel="0" collapsed="false">
      <c r="A135" s="102" t="s">
        <v>524</v>
      </c>
      <c r="B135" s="86" t="s">
        <v>522</v>
      </c>
    </row>
    <row r="136" customFormat="false" ht="12.8" hidden="false" customHeight="false" outlineLevel="0" collapsed="false">
      <c r="A136" s="86" t="s">
        <v>497</v>
      </c>
      <c r="B136" s="86" t="s">
        <v>522</v>
      </c>
    </row>
    <row r="137" customFormat="false" ht="12.8" hidden="false" customHeight="false" outlineLevel="0" collapsed="false">
      <c r="A137" s="86" t="s">
        <v>504</v>
      </c>
      <c r="B137" s="86" t="s">
        <v>522</v>
      </c>
    </row>
    <row r="138" customFormat="false" ht="12.8" hidden="false" customHeight="false" outlineLevel="0" collapsed="false">
      <c r="A138" s="86" t="s">
        <v>446</v>
      </c>
      <c r="B138" s="86" t="s">
        <v>522</v>
      </c>
    </row>
    <row r="139" customFormat="false" ht="12.8" hidden="false" customHeight="false" outlineLevel="0" collapsed="false">
      <c r="A139" s="102" t="s">
        <v>525</v>
      </c>
      <c r="B139" s="86" t="s">
        <v>522</v>
      </c>
    </row>
    <row r="140" customFormat="false" ht="12.8" hidden="false" customHeight="false" outlineLevel="0" collapsed="false">
      <c r="A140" s="86" t="s">
        <v>456</v>
      </c>
      <c r="B140" s="86" t="s">
        <v>522</v>
      </c>
    </row>
    <row r="141" customFormat="false" ht="12.8" hidden="false" customHeight="false" outlineLevel="0" collapsed="false">
      <c r="A141" s="86" t="s">
        <v>457</v>
      </c>
      <c r="B141" s="86" t="s">
        <v>522</v>
      </c>
    </row>
    <row r="142" customFormat="false" ht="12.8" hidden="false" customHeight="false" outlineLevel="0" collapsed="false">
      <c r="A142" s="86" t="s">
        <v>448</v>
      </c>
      <c r="B142" s="86" t="s">
        <v>522</v>
      </c>
    </row>
    <row r="143" customFormat="false" ht="12.8" hidden="false" customHeight="false" outlineLevel="0" collapsed="false">
      <c r="A143" s="86" t="s">
        <v>478</v>
      </c>
      <c r="B143" s="86" t="s">
        <v>522</v>
      </c>
    </row>
    <row r="144" customFormat="false" ht="12.8" hidden="false" customHeight="false" outlineLevel="0" collapsed="false">
      <c r="A144" s="86" t="s">
        <v>452</v>
      </c>
      <c r="B144" s="86" t="s">
        <v>522</v>
      </c>
    </row>
    <row r="145" customFormat="false" ht="12.8" hidden="false" customHeight="false" outlineLevel="0" collapsed="false">
      <c r="A145" s="86" t="s">
        <v>460</v>
      </c>
      <c r="B145" s="86" t="s">
        <v>522</v>
      </c>
    </row>
    <row r="146" customFormat="false" ht="12.8" hidden="false" customHeight="false" outlineLevel="0" collapsed="false">
      <c r="A146" s="86" t="s">
        <v>482</v>
      </c>
      <c r="B146" s="86" t="s">
        <v>522</v>
      </c>
    </row>
    <row r="147" customFormat="false" ht="12.8" hidden="false" customHeight="false" outlineLevel="0" collapsed="false">
      <c r="A147" s="86" t="s">
        <v>509</v>
      </c>
      <c r="B147" s="86" t="s">
        <v>522</v>
      </c>
    </row>
    <row r="148" customFormat="false" ht="12.8" hidden="false" customHeight="false" outlineLevel="0" collapsed="false">
      <c r="A148" s="86" t="s">
        <v>494</v>
      </c>
      <c r="B148" s="86" t="s">
        <v>526</v>
      </c>
    </row>
    <row r="149" customFormat="false" ht="12.8" hidden="false" customHeight="false" outlineLevel="0" collapsed="false">
      <c r="A149" s="102" t="s">
        <v>523</v>
      </c>
      <c r="B149" s="86" t="s">
        <v>526</v>
      </c>
    </row>
    <row r="150" customFormat="false" ht="12.8" hidden="false" customHeight="false" outlineLevel="0" collapsed="false">
      <c r="A150" s="86" t="s">
        <v>497</v>
      </c>
      <c r="B150" s="86" t="s">
        <v>526</v>
      </c>
    </row>
    <row r="151" customFormat="false" ht="12.8" hidden="false" customHeight="false" outlineLevel="0" collapsed="false">
      <c r="A151" s="102" t="s">
        <v>527</v>
      </c>
      <c r="B151" s="86" t="s">
        <v>526</v>
      </c>
    </row>
    <row r="152" customFormat="false" ht="12.8" hidden="false" customHeight="false" outlineLevel="0" collapsed="false">
      <c r="A152" s="86" t="s">
        <v>456</v>
      </c>
      <c r="B152" s="86" t="s">
        <v>526</v>
      </c>
    </row>
    <row r="153" customFormat="false" ht="12.8" hidden="false" customHeight="false" outlineLevel="0" collapsed="false">
      <c r="A153" s="86" t="s">
        <v>512</v>
      </c>
      <c r="B153" s="86" t="s">
        <v>526</v>
      </c>
    </row>
    <row r="154" customFormat="false" ht="12.8" hidden="false" customHeight="false" outlineLevel="0" collapsed="false">
      <c r="A154" s="86" t="s">
        <v>480</v>
      </c>
      <c r="B154" s="86" t="s">
        <v>526</v>
      </c>
    </row>
    <row r="155" customFormat="false" ht="12.8" hidden="false" customHeight="false" outlineLevel="0" collapsed="false">
      <c r="A155" s="102" t="s">
        <v>500</v>
      </c>
      <c r="B155" s="86" t="s">
        <v>526</v>
      </c>
    </row>
    <row r="156" customFormat="false" ht="12.8" hidden="false" customHeight="false" outlineLevel="0" collapsed="false">
      <c r="A156" s="102" t="s">
        <v>528</v>
      </c>
      <c r="B156" s="86" t="s">
        <v>526</v>
      </c>
    </row>
    <row r="157" customFormat="false" ht="12.8" hidden="false" customHeight="false" outlineLevel="0" collapsed="false">
      <c r="A157" s="86" t="s">
        <v>482</v>
      </c>
      <c r="B157" s="86" t="s">
        <v>526</v>
      </c>
    </row>
    <row r="158" customFormat="false" ht="12.8" hidden="false" customHeight="false" outlineLevel="0" collapsed="false">
      <c r="A158" s="86" t="s">
        <v>529</v>
      </c>
      <c r="B158" s="86" t="s">
        <v>530</v>
      </c>
    </row>
    <row r="159" customFormat="false" ht="12.8" hidden="false" customHeight="false" outlineLevel="0" collapsed="false">
      <c r="A159" s="86" t="s">
        <v>496</v>
      </c>
      <c r="B159" s="86" t="s">
        <v>531</v>
      </c>
    </row>
    <row r="160" customFormat="false" ht="12.8" hidden="false" customHeight="false" outlineLevel="0" collapsed="false">
      <c r="A160" s="86" t="s">
        <v>503</v>
      </c>
      <c r="B160" s="86" t="s">
        <v>531</v>
      </c>
    </row>
    <row r="161" customFormat="false" ht="12.8" hidden="false" customHeight="false" outlineLevel="0" collapsed="false">
      <c r="A161" s="86" t="s">
        <v>449</v>
      </c>
      <c r="B161" s="86" t="s">
        <v>531</v>
      </c>
    </row>
    <row r="162" customFormat="false" ht="12.8" hidden="false" customHeight="false" outlineLevel="0" collapsed="false">
      <c r="A162" s="86" t="s">
        <v>466</v>
      </c>
      <c r="B162" s="86" t="s">
        <v>531</v>
      </c>
    </row>
    <row r="163" customFormat="false" ht="12.8" hidden="false" customHeight="false" outlineLevel="0" collapsed="false">
      <c r="A163" s="86" t="s">
        <v>451</v>
      </c>
      <c r="B163" s="86" t="s">
        <v>531</v>
      </c>
    </row>
    <row r="164" customFormat="false" ht="12.8" hidden="false" customHeight="false" outlineLevel="0" collapsed="false">
      <c r="A164" s="86" t="s">
        <v>479</v>
      </c>
      <c r="B164" s="86" t="s">
        <v>531</v>
      </c>
    </row>
    <row r="165" customFormat="false" ht="12.8" hidden="false" customHeight="false" outlineLevel="0" collapsed="false">
      <c r="A165" s="86" t="s">
        <v>462</v>
      </c>
      <c r="B165" s="86" t="s">
        <v>531</v>
      </c>
    </row>
    <row r="166" customFormat="false" ht="12.8" hidden="false" customHeight="false" outlineLevel="0" collapsed="false">
      <c r="A166" s="86" t="s">
        <v>495</v>
      </c>
      <c r="B166" s="86" t="s">
        <v>532</v>
      </c>
    </row>
    <row r="167" customFormat="false" ht="12.8" hidden="false" customHeight="false" outlineLevel="0" collapsed="false">
      <c r="A167" s="102" t="s">
        <v>533</v>
      </c>
      <c r="B167" s="86" t="s">
        <v>532</v>
      </c>
    </row>
    <row r="168" customFormat="false" ht="12.8" hidden="false" customHeight="false" outlineLevel="0" collapsed="false">
      <c r="A168" s="102" t="s">
        <v>447</v>
      </c>
      <c r="B168" s="86" t="s">
        <v>532</v>
      </c>
    </row>
    <row r="169" customFormat="false" ht="12.8" hidden="false" customHeight="false" outlineLevel="0" collapsed="false">
      <c r="A169" s="86" t="s">
        <v>457</v>
      </c>
      <c r="B169" s="86" t="s">
        <v>532</v>
      </c>
    </row>
    <row r="170" customFormat="false" ht="12.8" hidden="false" customHeight="false" outlineLevel="0" collapsed="false">
      <c r="A170" s="86" t="s">
        <v>488</v>
      </c>
      <c r="B170" s="86" t="s">
        <v>532</v>
      </c>
    </row>
    <row r="171" customFormat="false" ht="12.8" hidden="false" customHeight="false" outlineLevel="0" collapsed="false">
      <c r="A171" s="86" t="s">
        <v>478</v>
      </c>
      <c r="B171" s="86" t="s">
        <v>532</v>
      </c>
    </row>
    <row r="172" customFormat="false" ht="12.8" hidden="false" customHeight="false" outlineLevel="0" collapsed="false">
      <c r="A172" s="86" t="s">
        <v>534</v>
      </c>
      <c r="B172" s="86" t="s">
        <v>532</v>
      </c>
    </row>
    <row r="173" customFormat="false" ht="12.8" hidden="false" customHeight="false" outlineLevel="0" collapsed="false">
      <c r="A173" s="86" t="s">
        <v>509</v>
      </c>
      <c r="B173" s="86" t="s">
        <v>532</v>
      </c>
    </row>
    <row r="174" customFormat="false" ht="12.8" hidden="false" customHeight="false" outlineLevel="0" collapsed="false">
      <c r="A174" s="86" t="s">
        <v>535</v>
      </c>
      <c r="B174" s="86" t="s">
        <v>536</v>
      </c>
    </row>
    <row r="175" customFormat="false" ht="12.8" hidden="false" customHeight="false" outlineLevel="0" collapsed="false">
      <c r="A175" s="86" t="s">
        <v>504</v>
      </c>
      <c r="B175" s="86" t="s">
        <v>536</v>
      </c>
    </row>
    <row r="176" customFormat="false" ht="12.8" hidden="false" customHeight="false" outlineLevel="0" collapsed="false">
      <c r="A176" s="86" t="s">
        <v>477</v>
      </c>
      <c r="B176" s="86" t="s">
        <v>536</v>
      </c>
    </row>
    <row r="177" customFormat="false" ht="12.8" hidden="false" customHeight="false" outlineLevel="0" collapsed="false">
      <c r="A177" s="86" t="s">
        <v>495</v>
      </c>
      <c r="B177" s="86" t="s">
        <v>537</v>
      </c>
    </row>
    <row r="178" customFormat="false" ht="12.8" hidden="false" customHeight="false" outlineLevel="0" collapsed="false">
      <c r="A178" s="86" t="s">
        <v>472</v>
      </c>
      <c r="B178" s="86" t="s">
        <v>537</v>
      </c>
    </row>
    <row r="179" customFormat="false" ht="12.8" hidden="false" customHeight="false" outlineLevel="0" collapsed="false">
      <c r="A179" s="86" t="s">
        <v>477</v>
      </c>
      <c r="B179" s="86" t="s">
        <v>537</v>
      </c>
    </row>
    <row r="180" customFormat="false" ht="12.8" hidden="false" customHeight="false" outlineLevel="0" collapsed="false">
      <c r="A180" s="86" t="s">
        <v>488</v>
      </c>
      <c r="B180" s="86" t="s">
        <v>537</v>
      </c>
    </row>
    <row r="181" customFormat="false" ht="12.8" hidden="false" customHeight="false" outlineLevel="0" collapsed="false">
      <c r="A181" s="86" t="s">
        <v>449</v>
      </c>
      <c r="B181" s="86" t="s">
        <v>537</v>
      </c>
    </row>
    <row r="182" customFormat="false" ht="12.8" hidden="false" customHeight="false" outlineLevel="0" collapsed="false">
      <c r="A182" s="86" t="s">
        <v>538</v>
      </c>
      <c r="B182" s="86" t="s">
        <v>539</v>
      </c>
    </row>
    <row r="183" customFormat="false" ht="12.8" hidden="false" customHeight="false" outlineLevel="0" collapsed="false">
      <c r="A183" s="86" t="s">
        <v>540</v>
      </c>
      <c r="B183" s="86" t="s">
        <v>539</v>
      </c>
    </row>
    <row r="184" customFormat="false" ht="12.8" hidden="false" customHeight="false" outlineLevel="0" collapsed="false">
      <c r="A184" s="86" t="s">
        <v>447</v>
      </c>
      <c r="B184" s="86" t="s">
        <v>539</v>
      </c>
    </row>
    <row r="185" customFormat="false" ht="12.8" hidden="false" customHeight="false" outlineLevel="0" collapsed="false">
      <c r="A185" s="86" t="s">
        <v>541</v>
      </c>
      <c r="B185" s="86" t="s">
        <v>539</v>
      </c>
    </row>
    <row r="186" customFormat="false" ht="12.8" hidden="false" customHeight="false" outlineLevel="0" collapsed="false">
      <c r="A186" s="86" t="s">
        <v>474</v>
      </c>
      <c r="B186" s="86" t="s">
        <v>542</v>
      </c>
    </row>
    <row r="187" customFormat="false" ht="12.8" hidden="false" customHeight="false" outlineLevel="0" collapsed="false">
      <c r="A187" s="86" t="s">
        <v>534</v>
      </c>
      <c r="B187" s="86" t="s">
        <v>542</v>
      </c>
    </row>
    <row r="188" customFormat="false" ht="12.8" hidden="false" customHeight="false" outlineLevel="0" collapsed="false">
      <c r="A188" s="86" t="s">
        <v>527</v>
      </c>
      <c r="B188" s="86" t="s">
        <v>543</v>
      </c>
    </row>
    <row r="189" customFormat="false" ht="12.8" hidden="false" customHeight="false" outlineLevel="0" collapsed="false">
      <c r="A189" s="86" t="s">
        <v>485</v>
      </c>
      <c r="B189" s="86" t="s">
        <v>543</v>
      </c>
    </row>
    <row r="190" customFormat="false" ht="12.8" hidden="false" customHeight="false" outlineLevel="0" collapsed="false">
      <c r="A190" s="86" t="s">
        <v>462</v>
      </c>
      <c r="B190" s="86" t="s">
        <v>543</v>
      </c>
    </row>
    <row r="191" customFormat="false" ht="12.8" hidden="false" customHeight="false" outlineLevel="0" collapsed="false">
      <c r="A191" s="86" t="s">
        <v>494</v>
      </c>
      <c r="B191" s="86" t="s">
        <v>543</v>
      </c>
    </row>
    <row r="192" customFormat="false" ht="12.8" hidden="false" customHeight="false" outlineLevel="0" collapsed="false">
      <c r="A192" s="86" t="s">
        <v>540</v>
      </c>
      <c r="B192" s="86" t="s">
        <v>544</v>
      </c>
    </row>
    <row r="193" customFormat="false" ht="12.8" hidden="false" customHeight="false" outlineLevel="0" collapsed="false">
      <c r="A193" s="86" t="s">
        <v>462</v>
      </c>
      <c r="B193" s="86" t="s">
        <v>544</v>
      </c>
    </row>
    <row r="194" customFormat="false" ht="12.8" hidden="false" customHeight="false" outlineLevel="0" collapsed="false">
      <c r="A194" s="86" t="s">
        <v>481</v>
      </c>
      <c r="B194" s="86" t="s">
        <v>545</v>
      </c>
    </row>
    <row r="195" customFormat="false" ht="12.8" hidden="false" customHeight="false" outlineLevel="0" collapsed="false">
      <c r="A195" s="86" t="s">
        <v>461</v>
      </c>
      <c r="B195" s="86" t="s">
        <v>545</v>
      </c>
    </row>
    <row r="196" customFormat="false" ht="12.8" hidden="false" customHeight="false" outlineLevel="0" collapsed="false">
      <c r="A196" s="86" t="s">
        <v>546</v>
      </c>
      <c r="B196" s="86" t="s">
        <v>545</v>
      </c>
    </row>
    <row r="197" customFormat="false" ht="12.8" hidden="false" customHeight="false" outlineLevel="0" collapsed="false">
      <c r="A197" s="86" t="s">
        <v>547</v>
      </c>
      <c r="B197" s="86" t="s">
        <v>545</v>
      </c>
    </row>
    <row r="198" customFormat="false" ht="12.8" hidden="false" customHeight="false" outlineLevel="0" collapsed="false">
      <c r="A198" s="86" t="s">
        <v>512</v>
      </c>
      <c r="B198" s="86" t="s">
        <v>545</v>
      </c>
    </row>
    <row r="199" customFormat="false" ht="12.8" hidden="false" customHeight="false" outlineLevel="0" collapsed="false">
      <c r="A199" s="86" t="s">
        <v>470</v>
      </c>
      <c r="B199" s="86" t="s">
        <v>545</v>
      </c>
    </row>
    <row r="200" customFormat="false" ht="12.8" hidden="false" customHeight="false" outlineLevel="0" collapsed="false">
      <c r="A200" s="86" t="s">
        <v>478</v>
      </c>
      <c r="B200" s="86" t="s">
        <v>545</v>
      </c>
    </row>
    <row r="201" customFormat="false" ht="12.8" hidden="false" customHeight="false" outlineLevel="0" collapsed="false">
      <c r="A201" s="86" t="s">
        <v>483</v>
      </c>
      <c r="B201" s="86" t="s">
        <v>545</v>
      </c>
    </row>
    <row r="202" customFormat="false" ht="12.8" hidden="false" customHeight="false" outlineLevel="0" collapsed="false">
      <c r="A202" s="86" t="s">
        <v>509</v>
      </c>
      <c r="B202" s="86" t="s">
        <v>545</v>
      </c>
    </row>
    <row r="203" customFormat="false" ht="12.8" hidden="false" customHeight="false" outlineLevel="0" collapsed="false">
      <c r="A203" s="86" t="s">
        <v>485</v>
      </c>
      <c r="B203" s="86" t="s">
        <v>548</v>
      </c>
    </row>
    <row r="204" customFormat="false" ht="12.8" hidden="false" customHeight="false" outlineLevel="0" collapsed="false">
      <c r="A204" s="86" t="s">
        <v>490</v>
      </c>
      <c r="B204" s="86" t="s">
        <v>548</v>
      </c>
    </row>
    <row r="205" customFormat="false" ht="12.8" hidden="false" customHeight="false" outlineLevel="0" collapsed="false">
      <c r="A205" s="86" t="s">
        <v>549</v>
      </c>
      <c r="B205" s="86" t="s">
        <v>548</v>
      </c>
    </row>
    <row r="206" customFormat="false" ht="12.8" hidden="false" customHeight="false" outlineLevel="0" collapsed="false">
      <c r="A206" s="1" t="s">
        <v>488</v>
      </c>
      <c r="B206" s="86" t="s">
        <v>550</v>
      </c>
    </row>
    <row r="207" customFormat="false" ht="12.8" hidden="false" customHeight="false" outlineLevel="0" collapsed="false">
      <c r="A207" s="1" t="s">
        <v>449</v>
      </c>
      <c r="B207" s="86" t="s">
        <v>550</v>
      </c>
    </row>
    <row r="208" customFormat="false" ht="12.8" hidden="false" customHeight="false" outlineLevel="0" collapsed="false">
      <c r="A208" s="1" t="s">
        <v>489</v>
      </c>
      <c r="B208" s="86" t="s">
        <v>550</v>
      </c>
    </row>
    <row r="209" customFormat="false" ht="12.8" hidden="false" customHeight="false" outlineLevel="0" collapsed="false">
      <c r="A209" s="1" t="s">
        <v>473</v>
      </c>
      <c r="B209" s="86" t="s">
        <v>550</v>
      </c>
    </row>
    <row r="210" customFormat="false" ht="12.8" hidden="false" customHeight="false" outlineLevel="0" collapsed="false">
      <c r="A210" s="1" t="s">
        <v>472</v>
      </c>
      <c r="B210" s="86" t="s">
        <v>550</v>
      </c>
    </row>
    <row r="211" customFormat="false" ht="12.8" hidden="false" customHeight="false" outlineLevel="0" collapsed="false">
      <c r="A211" s="86" t="s">
        <v>465</v>
      </c>
      <c r="B211" s="86" t="s">
        <v>550</v>
      </c>
    </row>
    <row r="212" customFormat="false" ht="12.8" hidden="false" customHeight="false" outlineLevel="0" collapsed="false">
      <c r="A212" s="86" t="s">
        <v>483</v>
      </c>
      <c r="B212" s="86" t="s">
        <v>550</v>
      </c>
    </row>
    <row r="213" customFormat="false" ht="12.8" hidden="false" customHeight="false" outlineLevel="0" collapsed="false">
      <c r="A213" s="86" t="s">
        <v>448</v>
      </c>
      <c r="B213" s="86" t="s">
        <v>551</v>
      </c>
    </row>
    <row r="214" customFormat="false" ht="12.8" hidden="false" customHeight="false" outlineLevel="0" collapsed="false">
      <c r="A214" s="86" t="s">
        <v>449</v>
      </c>
      <c r="B214" s="86" t="s">
        <v>551</v>
      </c>
    </row>
    <row r="215" customFormat="false" ht="12.8" hidden="false" customHeight="false" outlineLevel="0" collapsed="false">
      <c r="A215" s="86" t="s">
        <v>463</v>
      </c>
      <c r="B215" s="86" t="s">
        <v>551</v>
      </c>
    </row>
    <row r="216" customFormat="false" ht="12.8" hidden="false" customHeight="false" outlineLevel="0" collapsed="false">
      <c r="A216" s="86" t="s">
        <v>466</v>
      </c>
      <c r="B216" s="86" t="s">
        <v>551</v>
      </c>
    </row>
    <row r="217" customFormat="false" ht="12.8" hidden="false" customHeight="false" outlineLevel="0" collapsed="false">
      <c r="A217" s="86" t="s">
        <v>489</v>
      </c>
      <c r="B217" s="86" t="s">
        <v>551</v>
      </c>
    </row>
    <row r="218" customFormat="false" ht="12.8" hidden="false" customHeight="false" outlineLevel="0" collapsed="false">
      <c r="A218" s="86" t="s">
        <v>465</v>
      </c>
      <c r="B218" s="86" t="s">
        <v>551</v>
      </c>
    </row>
  </sheetData>
  <autoFilter ref="A1:B218"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93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0" ySplit="7" topLeftCell="A8" activePane="bottomLeft" state="frozen"/>
      <selection pane="topLeft" activeCell="A1" activeCellId="0" sqref="A1"/>
      <selection pane="bottomLeft" activeCell="D8" activeCellId="1" sqref="L46:O46 D8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17.06"/>
    <col collapsed="false" customWidth="true" hidden="false" outlineLevel="0" max="2" min="2" style="1" width="5.93"/>
    <col collapsed="false" customWidth="true" hidden="false" outlineLevel="0" max="3" min="3" style="1" width="6.43"/>
    <col collapsed="false" customWidth="true" hidden="false" outlineLevel="0" max="4" min="4" style="1" width="9.2"/>
    <col collapsed="false" customWidth="true" hidden="false" outlineLevel="0" max="5" min="5" style="1" width="10.36"/>
    <col collapsed="false" customWidth="true" hidden="false" outlineLevel="0" max="6" min="6" style="1" width="6.43"/>
    <col collapsed="false" customWidth="true" hidden="false" outlineLevel="0" max="7" min="7" style="1" width="11.11"/>
    <col collapsed="false" customWidth="true" hidden="false" outlineLevel="0" max="8" min="8" style="1" width="9.6"/>
    <col collapsed="false" customWidth="true" hidden="false" outlineLevel="0" max="9" min="9" style="1" width="12.37"/>
    <col collapsed="false" customWidth="true" hidden="false" outlineLevel="0" max="10" min="10" style="1" width="10.46"/>
    <col collapsed="false" customWidth="true" hidden="false" outlineLevel="0" max="11" min="11" style="1" width="11.11"/>
    <col collapsed="false" customWidth="true" hidden="false" outlineLevel="0" max="12" min="12" style="1" width="11.89"/>
    <col collapsed="false" customWidth="true" hidden="false" outlineLevel="0" max="13" min="13" style="1" width="12.13"/>
    <col collapsed="false" customWidth="true" hidden="false" outlineLevel="0" max="14" min="14" style="1" width="6.32"/>
  </cols>
  <sheetData>
    <row r="2" customFormat="false" ht="12.8" hidden="false" customHeight="false" outlineLevel="0" collapsed="false">
      <c r="A2" s="89" t="s">
        <v>552</v>
      </c>
      <c r="B2" s="85" t="s">
        <v>343</v>
      </c>
      <c r="C2" s="85" t="s">
        <v>553</v>
      </c>
      <c r="D2" s="85" t="s">
        <v>554</v>
      </c>
      <c r="E2" s="85" t="s">
        <v>555</v>
      </c>
      <c r="F2" s="85" t="s">
        <v>556</v>
      </c>
      <c r="G2" s="85" t="s">
        <v>557</v>
      </c>
      <c r="H2" s="85" t="s">
        <v>558</v>
      </c>
      <c r="I2" s="85" t="s">
        <v>559</v>
      </c>
      <c r="J2" s="85" t="s">
        <v>560</v>
      </c>
      <c r="K2" s="85" t="s">
        <v>561</v>
      </c>
      <c r="L2" s="85" t="s">
        <v>562</v>
      </c>
      <c r="M2" s="85" t="s">
        <v>563</v>
      </c>
      <c r="N2" s="85" t="s">
        <v>564</v>
      </c>
      <c r="O2" s="85"/>
      <c r="P2" s="85"/>
    </row>
    <row r="3" customFormat="false" ht="12.8" hidden="false" customHeight="false" outlineLevel="0" collapsed="false">
      <c r="A3" s="89" t="s">
        <v>565</v>
      </c>
      <c r="B3" s="85" t="n">
        <f aca="false">VLOOKUP($A3,BD_SET,2,0)</f>
        <v>87</v>
      </c>
      <c r="C3" s="89" t="str">
        <f aca="false">VLOOKUP($A3,BD_SET,3,0)</f>
        <v>Brujo</v>
      </c>
      <c r="D3" s="89" t="str">
        <f aca="false">VLOOKUP($A3,BD_SET,4,0)</f>
        <v>Felinas</v>
      </c>
      <c r="E3" s="89" t="str">
        <f aca="false">VLOOKUP($A3,BD_SET,5,0)</f>
        <v>Armadura</v>
      </c>
      <c r="F3" s="103" t="n">
        <f aca="false">VLOOKUP($A3,BD_SET,6,0)</f>
        <v>0</v>
      </c>
      <c r="G3" s="103" t="n">
        <f aca="false">VLOOKUP($A3,BD_SET,7,0)</f>
        <v>0</v>
      </c>
      <c r="H3" s="103" t="n">
        <f aca="false">VLOOKUP($A3,BD_SET,8,0)</f>
        <v>0.3</v>
      </c>
      <c r="I3" s="103" t="n">
        <f aca="false">VLOOKUP($A3,BD_SET,9,0)</f>
        <v>0.2</v>
      </c>
      <c r="J3" s="103" t="n">
        <f aca="false">VLOOKUP($A3,BD_SET,10,0)</f>
        <v>0</v>
      </c>
      <c r="K3" s="103" t="n">
        <f aca="false">VLOOKUP($A3,BD_SET,11,0)</f>
        <v>0.25</v>
      </c>
      <c r="L3" s="103" t="n">
        <f aca="false">VLOOKUP($A3,BD_SET,12,0)</f>
        <v>0.25</v>
      </c>
      <c r="M3" s="103" t="n">
        <f aca="false">VLOOKUP($A3,BD_SET,13,0)</f>
        <v>0.48</v>
      </c>
      <c r="N3" s="103" t="n">
        <f aca="false">VLOOKUP($A3,BD_SET,14,0)</f>
        <v>0</v>
      </c>
      <c r="O3" s="103"/>
      <c r="P3" s="103"/>
    </row>
    <row r="4" customFormat="false" ht="12.8" hidden="false" customHeight="false" outlineLevel="0" collapsed="false">
      <c r="A4" s="89" t="s">
        <v>566</v>
      </c>
      <c r="B4" s="85" t="n">
        <f aca="false">VLOOKUP($A4,BD_SET,2,0)</f>
        <v>87</v>
      </c>
      <c r="C4" s="89" t="str">
        <f aca="false">VLOOKUP($A4,BD_SET,3,0)</f>
        <v>Brujo</v>
      </c>
      <c r="D4" s="89" t="str">
        <f aca="false">VLOOKUP($A4,BD_SET,4,0)</f>
        <v>Felinas</v>
      </c>
      <c r="E4" s="89" t="str">
        <f aca="false">VLOOKUP($A4,BD_SET,5,0)</f>
        <v>Botas</v>
      </c>
      <c r="F4" s="103" t="n">
        <f aca="false">VLOOKUP($A4,BD_SET,6,0)</f>
        <v>0</v>
      </c>
      <c r="G4" s="103" t="n">
        <f aca="false">VLOOKUP($A4,BD_SET,7,0)</f>
        <v>0</v>
      </c>
      <c r="H4" s="103" t="n">
        <f aca="false">VLOOKUP($A4,BD_SET,8,0)</f>
        <v>0.15</v>
      </c>
      <c r="I4" s="103" t="n">
        <f aca="false">VLOOKUP($A4,BD_SET,9,0)</f>
        <v>0.06</v>
      </c>
      <c r="J4" s="103" t="n">
        <f aca="false">VLOOKUP($A4,BD_SET,10,0)</f>
        <v>0</v>
      </c>
      <c r="K4" s="103" t="n">
        <f aca="false">VLOOKUP($A4,BD_SET,11,0)</f>
        <v>0.08</v>
      </c>
      <c r="L4" s="103" t="n">
        <f aca="false">VLOOKUP($A4,BD_SET,12,0)</f>
        <v>0.08</v>
      </c>
      <c r="M4" s="103" t="n">
        <f aca="false">VLOOKUP($A4,BD_SET,13,0)</f>
        <v>0.08</v>
      </c>
      <c r="N4" s="103" t="n">
        <f aca="false">VLOOKUP($A4,BD_SET,14,0)</f>
        <v>0</v>
      </c>
      <c r="O4" s="103"/>
      <c r="P4" s="103"/>
    </row>
    <row r="5" customFormat="false" ht="12.8" hidden="false" customHeight="false" outlineLevel="0" collapsed="false">
      <c r="A5" s="89" t="s">
        <v>567</v>
      </c>
      <c r="B5" s="85" t="n">
        <f aca="false">VLOOKUP($A5,BD_SET,2,0)</f>
        <v>87</v>
      </c>
      <c r="C5" s="89" t="str">
        <f aca="false">VLOOKUP($A5,BD_SET,3,0)</f>
        <v>Brujo</v>
      </c>
      <c r="D5" s="89" t="str">
        <f aca="false">VLOOKUP($A5,BD_SET,4,0)</f>
        <v>Felinas</v>
      </c>
      <c r="E5" s="89" t="str">
        <f aca="false">VLOOKUP($A5,BD_SET,5,0)</f>
        <v>Guantes</v>
      </c>
      <c r="F5" s="103" t="n">
        <f aca="false">VLOOKUP($A5,BD_SET,6,0)</f>
        <v>0</v>
      </c>
      <c r="G5" s="103" t="n">
        <f aca="false">VLOOKUP($A5,BD_SET,7,0)</f>
        <v>0</v>
      </c>
      <c r="H5" s="103" t="n">
        <f aca="false">VLOOKUP($A5,BD_SET,8,0)</f>
        <v>0.15</v>
      </c>
      <c r="I5" s="103" t="n">
        <f aca="false">VLOOKUP($A5,BD_SET,9,0)</f>
        <v>0.06</v>
      </c>
      <c r="J5" s="103" t="n">
        <f aca="false">VLOOKUP($A5,BD_SET,10,0)</f>
        <v>0</v>
      </c>
      <c r="K5" s="103" t="n">
        <f aca="false">VLOOKUP($A5,BD_SET,11,0)</f>
        <v>0.07</v>
      </c>
      <c r="L5" s="103" t="n">
        <f aca="false">VLOOKUP($A5,BD_SET,12,0)</f>
        <v>0.07</v>
      </c>
      <c r="M5" s="103" t="n">
        <f aca="false">VLOOKUP($A5,BD_SET,13,0)</f>
        <v>0.07</v>
      </c>
      <c r="N5" s="103" t="n">
        <f aca="false">VLOOKUP($A5,BD_SET,14,0)</f>
        <v>0</v>
      </c>
      <c r="O5" s="103"/>
      <c r="P5" s="103"/>
    </row>
    <row r="6" customFormat="false" ht="12.8" hidden="false" customHeight="false" outlineLevel="0" collapsed="false">
      <c r="A6" s="89" t="s">
        <v>568</v>
      </c>
      <c r="B6" s="85" t="n">
        <f aca="false">VLOOKUP($A6,BD_SET,2,0)</f>
        <v>87</v>
      </c>
      <c r="C6" s="89" t="str">
        <f aca="false">VLOOKUP($A6,BD_SET,3,0)</f>
        <v>Brujo</v>
      </c>
      <c r="D6" s="89" t="str">
        <f aca="false">VLOOKUP($A6,BD_SET,4,0)</f>
        <v>Felinas</v>
      </c>
      <c r="E6" s="89" t="str">
        <f aca="false">VLOOKUP($A6,BD_SET,5,0)</f>
        <v>Pantalón</v>
      </c>
      <c r="F6" s="103" t="n">
        <f aca="false">VLOOKUP($A6,BD_SET,6,0)</f>
        <v>0</v>
      </c>
      <c r="G6" s="103" t="n">
        <f aca="false">VLOOKUP($A6,BD_SET,7,0)</f>
        <v>0</v>
      </c>
      <c r="H6" s="103" t="n">
        <f aca="false">VLOOKUP($A6,BD_SET,8,0)</f>
        <v>0.15</v>
      </c>
      <c r="I6" s="103" t="n">
        <f aca="false">VLOOKUP($A6,BD_SET,9,0)</f>
        <v>0.08</v>
      </c>
      <c r="J6" s="103" t="n">
        <f aca="false">VLOOKUP($A6,BD_SET,10,0)</f>
        <v>0</v>
      </c>
      <c r="K6" s="103" t="n">
        <f aca="false">VLOOKUP($A6,BD_SET,11,0)</f>
        <v>0.1</v>
      </c>
      <c r="L6" s="103" t="n">
        <f aca="false">VLOOKUP($A6,BD_SET,12,0)</f>
        <v>0.1</v>
      </c>
      <c r="M6" s="103" t="n">
        <f aca="false">VLOOKUP($A6,BD_SET,13,0)</f>
        <v>0.17</v>
      </c>
      <c r="N6" s="103" t="n">
        <f aca="false">VLOOKUP($A6,BD_SET,14,0)</f>
        <v>0</v>
      </c>
      <c r="O6" s="103"/>
      <c r="P6" s="103"/>
    </row>
    <row r="7" customFormat="false" ht="12.8" hidden="false" customHeight="false" outlineLevel="0" collapsed="false">
      <c r="F7" s="104" t="n">
        <f aca="false">SUM(F3:F6)</f>
        <v>0</v>
      </c>
      <c r="G7" s="104" t="n">
        <f aca="false">SUM(G3:G6)</f>
        <v>0</v>
      </c>
      <c r="H7" s="104" t="n">
        <f aca="false">SUM(H3:H6)</f>
        <v>0.75</v>
      </c>
      <c r="I7" s="104" t="n">
        <f aca="false">SUM(I3:I6)</f>
        <v>0.4</v>
      </c>
      <c r="J7" s="104" t="n">
        <f aca="false">SUM(J3:J6)</f>
        <v>0</v>
      </c>
      <c r="K7" s="104" t="n">
        <f aca="false">SUM(K3:K6)</f>
        <v>0.5</v>
      </c>
      <c r="L7" s="104" t="n">
        <f aca="false">SUM(L3:L6)</f>
        <v>0.5</v>
      </c>
      <c r="M7" s="104" t="n">
        <f aca="false">SUM(M3:M6)</f>
        <v>0.8</v>
      </c>
      <c r="N7" s="104" t="n">
        <f aca="false">SUM(N3:N6)</f>
        <v>0</v>
      </c>
      <c r="O7" s="104"/>
      <c r="P7" s="104"/>
    </row>
    <row r="11" customFormat="false" ht="12.8" hidden="false" customHeight="false" outlineLevel="0" collapsed="false">
      <c r="A11" s="89" t="s">
        <v>552</v>
      </c>
      <c r="B11" s="85" t="s">
        <v>343</v>
      </c>
      <c r="C11" s="85" t="s">
        <v>553</v>
      </c>
      <c r="D11" s="85" t="s">
        <v>554</v>
      </c>
      <c r="E11" s="85" t="s">
        <v>555</v>
      </c>
      <c r="F11" s="85" t="s">
        <v>556</v>
      </c>
      <c r="G11" s="85" t="s">
        <v>557</v>
      </c>
      <c r="H11" s="85" t="s">
        <v>558</v>
      </c>
      <c r="I11" s="85" t="s">
        <v>559</v>
      </c>
      <c r="J11" s="85" t="s">
        <v>560</v>
      </c>
      <c r="K11" s="85" t="s">
        <v>561</v>
      </c>
      <c r="L11" s="85" t="s">
        <v>562</v>
      </c>
      <c r="M11" s="85" t="s">
        <v>563</v>
      </c>
      <c r="N11" s="85" t="s">
        <v>564</v>
      </c>
      <c r="O11" s="85"/>
      <c r="P11" s="85"/>
    </row>
    <row r="12" customFormat="false" ht="12.8" hidden="false" customHeight="false" outlineLevel="0" collapsed="false">
      <c r="A12" s="105" t="s">
        <v>569</v>
      </c>
      <c r="B12" s="106" t="n">
        <v>87</v>
      </c>
      <c r="C12" s="105" t="s">
        <v>570</v>
      </c>
      <c r="D12" s="105" t="s">
        <v>571</v>
      </c>
      <c r="E12" s="105" t="s">
        <v>4</v>
      </c>
      <c r="F12" s="107" t="n">
        <v>0.15</v>
      </c>
      <c r="G12" s="107" t="n">
        <v>0</v>
      </c>
      <c r="H12" s="107" t="n">
        <v>0</v>
      </c>
      <c r="I12" s="107" t="n">
        <v>0.07</v>
      </c>
      <c r="J12" s="107" t="n">
        <v>0.07</v>
      </c>
      <c r="K12" s="107" t="n">
        <v>0.08</v>
      </c>
      <c r="L12" s="107" t="n">
        <v>0.08</v>
      </c>
      <c r="M12" s="107" t="n">
        <v>0</v>
      </c>
      <c r="N12" s="107" t="n">
        <v>0</v>
      </c>
      <c r="O12" s="107"/>
      <c r="P12" s="107"/>
    </row>
    <row r="13" customFormat="false" ht="12.8" hidden="false" customHeight="false" outlineLevel="0" collapsed="false">
      <c r="A13" s="105" t="s">
        <v>566</v>
      </c>
      <c r="B13" s="106" t="n">
        <v>87</v>
      </c>
      <c r="C13" s="105" t="s">
        <v>570</v>
      </c>
      <c r="D13" s="105" t="s">
        <v>572</v>
      </c>
      <c r="E13" s="105" t="s">
        <v>4</v>
      </c>
      <c r="F13" s="107" t="n">
        <v>0</v>
      </c>
      <c r="G13" s="107" t="n">
        <v>0</v>
      </c>
      <c r="H13" s="107" t="n">
        <v>0.15</v>
      </c>
      <c r="I13" s="107" t="n">
        <v>0.06</v>
      </c>
      <c r="J13" s="107" t="n">
        <v>0</v>
      </c>
      <c r="K13" s="107" t="n">
        <v>0.08</v>
      </c>
      <c r="L13" s="107" t="n">
        <v>0.08</v>
      </c>
      <c r="M13" s="107" t="n">
        <v>0.08</v>
      </c>
      <c r="N13" s="107" t="n">
        <v>0</v>
      </c>
      <c r="O13" s="107"/>
      <c r="P13" s="107"/>
    </row>
    <row r="14" customFormat="false" ht="12.8" hidden="false" customHeight="false" outlineLevel="0" collapsed="false">
      <c r="A14" s="105" t="s">
        <v>573</v>
      </c>
      <c r="B14" s="106" t="n">
        <v>87</v>
      </c>
      <c r="C14" s="105" t="s">
        <v>570</v>
      </c>
      <c r="D14" s="105" t="s">
        <v>574</v>
      </c>
      <c r="E14" s="105" t="s">
        <v>4</v>
      </c>
      <c r="F14" s="107" t="n">
        <v>0</v>
      </c>
      <c r="G14" s="107" t="n">
        <v>0</v>
      </c>
      <c r="H14" s="107" t="n">
        <v>0.15</v>
      </c>
      <c r="I14" s="107" t="n">
        <v>0.07</v>
      </c>
      <c r="J14" s="107" t="n">
        <v>0.04</v>
      </c>
      <c r="K14" s="107" t="n">
        <v>0.08</v>
      </c>
      <c r="L14" s="107" t="n">
        <v>0.08</v>
      </c>
      <c r="M14" s="107" t="n">
        <v>0</v>
      </c>
      <c r="N14" s="107" t="n">
        <v>0</v>
      </c>
      <c r="O14" s="107"/>
      <c r="P14" s="107"/>
    </row>
    <row r="15" customFormat="false" ht="12.8" hidden="false" customHeight="false" outlineLevel="0" collapsed="false">
      <c r="A15" s="105" t="s">
        <v>575</v>
      </c>
      <c r="B15" s="106" t="n">
        <v>87</v>
      </c>
      <c r="C15" s="105" t="s">
        <v>570</v>
      </c>
      <c r="D15" s="105" t="s">
        <v>576</v>
      </c>
      <c r="E15" s="105" t="s">
        <v>4</v>
      </c>
      <c r="F15" s="107" t="n">
        <v>0</v>
      </c>
      <c r="G15" s="107" t="n">
        <v>0.15</v>
      </c>
      <c r="H15" s="107" t="n">
        <v>0</v>
      </c>
      <c r="I15" s="107" t="n">
        <v>0.08</v>
      </c>
      <c r="J15" s="107" t="n">
        <v>0.1</v>
      </c>
      <c r="K15" s="107" t="n">
        <v>0.08</v>
      </c>
      <c r="L15" s="107" t="n">
        <v>0.08</v>
      </c>
      <c r="M15" s="107" t="n">
        <v>0</v>
      </c>
      <c r="N15" s="107" t="n">
        <v>0</v>
      </c>
      <c r="O15" s="107"/>
      <c r="P15" s="107"/>
    </row>
    <row r="16" customFormat="false" ht="12.8" hidden="false" customHeight="false" outlineLevel="0" collapsed="false">
      <c r="A16" s="105" t="s">
        <v>577</v>
      </c>
      <c r="B16" s="106" t="n">
        <v>87</v>
      </c>
      <c r="C16" s="105" t="s">
        <v>570</v>
      </c>
      <c r="D16" s="105" t="s">
        <v>571</v>
      </c>
      <c r="E16" s="105" t="s">
        <v>578</v>
      </c>
      <c r="F16" s="107" t="n">
        <v>0.3</v>
      </c>
      <c r="G16" s="107" t="n">
        <v>0</v>
      </c>
      <c r="H16" s="107" t="n">
        <v>0</v>
      </c>
      <c r="I16" s="107" t="n">
        <v>0.25</v>
      </c>
      <c r="J16" s="107" t="n">
        <v>0.2</v>
      </c>
      <c r="K16" s="107" t="n">
        <v>0.2</v>
      </c>
      <c r="L16" s="107" t="n">
        <v>0.2</v>
      </c>
      <c r="M16" s="107" t="n">
        <v>0</v>
      </c>
      <c r="N16" s="107" t="n">
        <v>0</v>
      </c>
      <c r="O16" s="107"/>
      <c r="P16" s="107"/>
    </row>
    <row r="17" customFormat="false" ht="12.8" hidden="false" customHeight="false" outlineLevel="0" collapsed="false">
      <c r="A17" s="105" t="s">
        <v>565</v>
      </c>
      <c r="B17" s="106" t="n">
        <v>87</v>
      </c>
      <c r="C17" s="105" t="s">
        <v>570</v>
      </c>
      <c r="D17" s="105" t="s">
        <v>572</v>
      </c>
      <c r="E17" s="105" t="s">
        <v>578</v>
      </c>
      <c r="F17" s="107" t="n">
        <v>0</v>
      </c>
      <c r="G17" s="107" t="n">
        <v>0</v>
      </c>
      <c r="H17" s="107" t="n">
        <v>0.3</v>
      </c>
      <c r="I17" s="107" t="n">
        <v>0.2</v>
      </c>
      <c r="J17" s="107" t="n">
        <v>0</v>
      </c>
      <c r="K17" s="107" t="n">
        <v>0.25</v>
      </c>
      <c r="L17" s="107" t="n">
        <v>0.25</v>
      </c>
      <c r="M17" s="107" t="n">
        <v>0.48</v>
      </c>
      <c r="N17" s="107" t="n">
        <v>0</v>
      </c>
      <c r="O17" s="107"/>
      <c r="P17" s="107"/>
    </row>
    <row r="18" customFormat="false" ht="12.8" hidden="false" customHeight="false" outlineLevel="0" collapsed="false">
      <c r="A18" s="105" t="s">
        <v>579</v>
      </c>
      <c r="B18" s="106" t="n">
        <v>87</v>
      </c>
      <c r="C18" s="105" t="s">
        <v>570</v>
      </c>
      <c r="D18" s="105" t="s">
        <v>574</v>
      </c>
      <c r="E18" s="105" t="s">
        <v>578</v>
      </c>
      <c r="F18" s="107" t="n">
        <v>0</v>
      </c>
      <c r="G18" s="107" t="n">
        <v>0.3</v>
      </c>
      <c r="H18" s="107" t="n">
        <v>0</v>
      </c>
      <c r="I18" s="107" t="n">
        <v>0.25</v>
      </c>
      <c r="J18" s="107" t="n">
        <v>0.2</v>
      </c>
      <c r="K18" s="107" t="n">
        <v>0.32</v>
      </c>
      <c r="L18" s="107" t="n">
        <v>0.36</v>
      </c>
      <c r="M18" s="107" t="n">
        <v>0</v>
      </c>
      <c r="N18" s="107" t="n">
        <v>0</v>
      </c>
      <c r="O18" s="107"/>
      <c r="P18" s="107"/>
    </row>
    <row r="19" customFormat="false" ht="12.8" hidden="false" customHeight="false" outlineLevel="0" collapsed="false">
      <c r="A19" s="105" t="s">
        <v>580</v>
      </c>
      <c r="B19" s="106" t="n">
        <v>87</v>
      </c>
      <c r="C19" s="105" t="s">
        <v>570</v>
      </c>
      <c r="D19" s="105" t="s">
        <v>576</v>
      </c>
      <c r="E19" s="105" t="s">
        <v>578</v>
      </c>
      <c r="F19" s="107" t="n">
        <v>0</v>
      </c>
      <c r="G19" s="107" t="n">
        <v>0.3</v>
      </c>
      <c r="H19" s="107" t="n">
        <v>0</v>
      </c>
      <c r="I19" s="107" t="n">
        <v>0.3</v>
      </c>
      <c r="J19" s="107" t="n">
        <v>0.3</v>
      </c>
      <c r="K19" s="107" t="n">
        <v>0.4</v>
      </c>
      <c r="L19" s="107" t="n">
        <v>0.48</v>
      </c>
      <c r="M19" s="107" t="n">
        <v>0</v>
      </c>
      <c r="N19" s="107" t="n">
        <v>0</v>
      </c>
      <c r="O19" s="107"/>
      <c r="P19" s="107"/>
    </row>
    <row r="20" customFormat="false" ht="12.8" hidden="false" customHeight="false" outlineLevel="0" collapsed="false">
      <c r="A20" s="105" t="s">
        <v>581</v>
      </c>
      <c r="B20" s="106" t="n">
        <v>87</v>
      </c>
      <c r="C20" s="105" t="s">
        <v>570</v>
      </c>
      <c r="D20" s="105" t="s">
        <v>571</v>
      </c>
      <c r="E20" s="105" t="s">
        <v>582</v>
      </c>
      <c r="F20" s="107" t="n">
        <v>0.15</v>
      </c>
      <c r="G20" s="107" t="n">
        <v>0</v>
      </c>
      <c r="H20" s="107" t="n">
        <v>0</v>
      </c>
      <c r="I20" s="107" t="n">
        <v>0.07</v>
      </c>
      <c r="J20" s="107" t="n">
        <v>0</v>
      </c>
      <c r="K20" s="107" t="n">
        <v>0.07</v>
      </c>
      <c r="L20" s="107" t="n">
        <v>0.07</v>
      </c>
      <c r="M20" s="107" t="n">
        <v>0.2</v>
      </c>
      <c r="N20" s="107" t="n">
        <v>0</v>
      </c>
      <c r="O20" s="107"/>
      <c r="P20" s="107"/>
    </row>
    <row r="21" customFormat="false" ht="12.8" hidden="false" customHeight="false" outlineLevel="0" collapsed="false">
      <c r="A21" s="105" t="s">
        <v>567</v>
      </c>
      <c r="B21" s="106" t="n">
        <v>87</v>
      </c>
      <c r="C21" s="105" t="s">
        <v>570</v>
      </c>
      <c r="D21" s="105" t="s">
        <v>572</v>
      </c>
      <c r="E21" s="105" t="s">
        <v>582</v>
      </c>
      <c r="F21" s="107" t="n">
        <v>0</v>
      </c>
      <c r="G21" s="107" t="n">
        <v>0</v>
      </c>
      <c r="H21" s="107" t="n">
        <v>0.15</v>
      </c>
      <c r="I21" s="107" t="n">
        <v>0.06</v>
      </c>
      <c r="J21" s="107" t="n">
        <v>0</v>
      </c>
      <c r="K21" s="107" t="n">
        <v>0.07</v>
      </c>
      <c r="L21" s="107" t="n">
        <v>0.07</v>
      </c>
      <c r="M21" s="107" t="n">
        <v>0.07</v>
      </c>
      <c r="N21" s="107" t="n">
        <v>0</v>
      </c>
      <c r="O21" s="107"/>
      <c r="P21" s="107"/>
    </row>
    <row r="22" customFormat="false" ht="12.8" hidden="false" customHeight="false" outlineLevel="0" collapsed="false">
      <c r="A22" s="105" t="s">
        <v>583</v>
      </c>
      <c r="B22" s="106" t="n">
        <v>87</v>
      </c>
      <c r="C22" s="105" t="s">
        <v>570</v>
      </c>
      <c r="D22" s="105" t="s">
        <v>574</v>
      </c>
      <c r="E22" s="105" t="s">
        <v>582</v>
      </c>
      <c r="F22" s="107" t="n">
        <v>0.15</v>
      </c>
      <c r="G22" s="107" t="n">
        <v>0</v>
      </c>
      <c r="H22" s="107" t="n">
        <v>0</v>
      </c>
      <c r="I22" s="107" t="n">
        <v>0.07</v>
      </c>
      <c r="J22" s="107" t="n">
        <v>0</v>
      </c>
      <c r="K22" s="107" t="n">
        <v>0.07</v>
      </c>
      <c r="L22" s="107" t="n">
        <v>0.07</v>
      </c>
      <c r="M22" s="107" t="n">
        <v>0.2</v>
      </c>
      <c r="N22" s="107" t="n">
        <v>0</v>
      </c>
      <c r="O22" s="107"/>
      <c r="P22" s="107"/>
    </row>
    <row r="23" customFormat="false" ht="12.8" hidden="false" customHeight="false" outlineLevel="0" collapsed="false">
      <c r="A23" s="105" t="s">
        <v>584</v>
      </c>
      <c r="B23" s="106" t="n">
        <v>87</v>
      </c>
      <c r="C23" s="105" t="s">
        <v>570</v>
      </c>
      <c r="D23" s="105" t="s">
        <v>576</v>
      </c>
      <c r="E23" s="105" t="s">
        <v>582</v>
      </c>
      <c r="F23" s="107" t="n">
        <v>0</v>
      </c>
      <c r="G23" s="107" t="n">
        <v>0.15</v>
      </c>
      <c r="H23" s="107" t="n">
        <v>0</v>
      </c>
      <c r="I23" s="107" t="n">
        <v>0.07</v>
      </c>
      <c r="J23" s="107" t="n">
        <v>0</v>
      </c>
      <c r="K23" s="107" t="n">
        <v>0.07</v>
      </c>
      <c r="L23" s="107" t="n">
        <v>0.07</v>
      </c>
      <c r="M23" s="107" t="n">
        <v>0.1</v>
      </c>
      <c r="N23" s="107" t="n">
        <v>0</v>
      </c>
      <c r="O23" s="107"/>
      <c r="P23" s="107"/>
    </row>
    <row r="24" customFormat="false" ht="12.8" hidden="false" customHeight="false" outlineLevel="0" collapsed="false">
      <c r="A24" s="105" t="s">
        <v>585</v>
      </c>
      <c r="B24" s="106" t="n">
        <v>87</v>
      </c>
      <c r="C24" s="105" t="s">
        <v>570</v>
      </c>
      <c r="D24" s="105" t="s">
        <v>571</v>
      </c>
      <c r="E24" s="105" t="s">
        <v>586</v>
      </c>
      <c r="F24" s="107" t="n">
        <v>0.15</v>
      </c>
      <c r="G24" s="107" t="n">
        <v>0</v>
      </c>
      <c r="H24" s="107" t="n">
        <v>0</v>
      </c>
      <c r="I24" s="107" t="n">
        <v>0.09</v>
      </c>
      <c r="J24" s="107" t="n">
        <v>0</v>
      </c>
      <c r="K24" s="107" t="n">
        <v>0.12</v>
      </c>
      <c r="L24" s="107" t="n">
        <v>0.14</v>
      </c>
      <c r="M24" s="107" t="n">
        <v>0.45</v>
      </c>
      <c r="N24" s="107" t="n">
        <v>0</v>
      </c>
      <c r="O24" s="107"/>
      <c r="P24" s="107"/>
    </row>
    <row r="25" customFormat="false" ht="12.8" hidden="false" customHeight="false" outlineLevel="0" collapsed="false">
      <c r="A25" s="105" t="s">
        <v>568</v>
      </c>
      <c r="B25" s="106" t="n">
        <v>87</v>
      </c>
      <c r="C25" s="105" t="s">
        <v>570</v>
      </c>
      <c r="D25" s="105" t="s">
        <v>572</v>
      </c>
      <c r="E25" s="105" t="s">
        <v>586</v>
      </c>
      <c r="F25" s="107" t="n">
        <v>0</v>
      </c>
      <c r="G25" s="107" t="n">
        <v>0</v>
      </c>
      <c r="H25" s="107" t="n">
        <v>0.15</v>
      </c>
      <c r="I25" s="107" t="n">
        <v>0.08</v>
      </c>
      <c r="J25" s="107" t="n">
        <v>0</v>
      </c>
      <c r="K25" s="107" t="n">
        <v>0.1</v>
      </c>
      <c r="L25" s="107" t="n">
        <v>0.1</v>
      </c>
      <c r="M25" s="107" t="n">
        <v>0.17</v>
      </c>
      <c r="N25" s="107" t="n">
        <v>0</v>
      </c>
      <c r="O25" s="107"/>
      <c r="P25" s="107"/>
    </row>
    <row r="26" customFormat="false" ht="12.8" hidden="false" customHeight="false" outlineLevel="0" collapsed="false">
      <c r="A26" s="105" t="s">
        <v>587</v>
      </c>
      <c r="B26" s="106" t="n">
        <v>87</v>
      </c>
      <c r="C26" s="105" t="s">
        <v>570</v>
      </c>
      <c r="D26" s="105" t="s">
        <v>574</v>
      </c>
      <c r="E26" s="105" t="s">
        <v>586</v>
      </c>
      <c r="F26" s="107" t="n">
        <v>0.15</v>
      </c>
      <c r="G26" s="107" t="n">
        <v>0</v>
      </c>
      <c r="H26" s="107" t="n">
        <v>0.15</v>
      </c>
      <c r="I26" s="107" t="n">
        <v>0</v>
      </c>
      <c r="J26" s="107" t="n">
        <v>0</v>
      </c>
      <c r="K26" s="107" t="n">
        <v>0.12</v>
      </c>
      <c r="L26" s="107" t="n">
        <v>0.14</v>
      </c>
      <c r="M26" s="107" t="n">
        <v>0.45</v>
      </c>
      <c r="N26" s="107" t="n">
        <v>0</v>
      </c>
      <c r="O26" s="107"/>
      <c r="P26" s="107"/>
    </row>
    <row r="27" customFormat="false" ht="12.8" hidden="false" customHeight="false" outlineLevel="0" collapsed="false">
      <c r="A27" s="105" t="s">
        <v>588</v>
      </c>
      <c r="B27" s="106" t="n">
        <v>87</v>
      </c>
      <c r="C27" s="105" t="s">
        <v>570</v>
      </c>
      <c r="D27" s="105" t="s">
        <v>576</v>
      </c>
      <c r="E27" s="105" t="s">
        <v>586</v>
      </c>
      <c r="F27" s="107" t="n">
        <v>0</v>
      </c>
      <c r="G27" s="107" t="n">
        <v>0.15</v>
      </c>
      <c r="H27" s="107" t="n">
        <v>0</v>
      </c>
      <c r="I27" s="107" t="n">
        <v>0.1</v>
      </c>
      <c r="J27" s="107" t="n">
        <v>0</v>
      </c>
      <c r="K27" s="107" t="n">
        <v>0.15</v>
      </c>
      <c r="L27" s="107" t="n">
        <v>0.17</v>
      </c>
      <c r="M27" s="107" t="n">
        <v>0.4</v>
      </c>
      <c r="N27" s="107" t="n">
        <v>0</v>
      </c>
      <c r="O27" s="107"/>
      <c r="P27" s="107"/>
    </row>
    <row r="28" customFormat="false" ht="12.8" hidden="false" customHeight="false" outlineLevel="0" collapsed="false">
      <c r="A28" s="105"/>
      <c r="B28" s="106"/>
      <c r="C28" s="105"/>
      <c r="D28" s="105"/>
      <c r="E28" s="105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</row>
    <row r="29" customFormat="false" ht="12.8" hidden="false" customHeight="false" outlineLevel="0" collapsed="false">
      <c r="A29" s="105"/>
      <c r="B29" s="106"/>
      <c r="C29" s="105"/>
      <c r="D29" s="105"/>
      <c r="E29" s="105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</row>
    <row r="30" customFormat="false" ht="12.8" hidden="false" customHeight="false" outlineLevel="0" collapsed="false">
      <c r="A30" s="105"/>
      <c r="B30" s="106"/>
      <c r="C30" s="105"/>
      <c r="D30" s="105"/>
      <c r="E30" s="105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customFormat="false" ht="12.8" hidden="false" customHeight="false" outlineLevel="0" collapsed="false">
      <c r="A31" s="105"/>
      <c r="B31" s="106"/>
      <c r="C31" s="105"/>
      <c r="D31" s="105"/>
      <c r="E31" s="105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</row>
    <row r="32" customFormat="false" ht="12.8" hidden="false" customHeight="false" outlineLevel="0" collapsed="false">
      <c r="A32" s="105"/>
      <c r="B32" s="106"/>
      <c r="C32" s="105"/>
      <c r="D32" s="105"/>
      <c r="E32" s="105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R32" s="85" t="s">
        <v>589</v>
      </c>
      <c r="S32" s="85" t="s">
        <v>590</v>
      </c>
      <c r="T32" s="84" t="s">
        <v>591</v>
      </c>
    </row>
    <row r="33" customFormat="false" ht="12.8" hidden="false" customHeight="false" outlineLevel="0" collapsed="false">
      <c r="A33" s="105"/>
      <c r="B33" s="106"/>
      <c r="C33" s="105"/>
      <c r="D33" s="105"/>
      <c r="E33" s="105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R33" s="92" t="s">
        <v>592</v>
      </c>
      <c r="S33" s="92" t="s">
        <v>593</v>
      </c>
      <c r="T33" s="92" t="s">
        <v>594</v>
      </c>
    </row>
    <row r="34" customFormat="false" ht="12.8" hidden="false" customHeight="false" outlineLevel="0" collapsed="false">
      <c r="A34" s="105"/>
      <c r="B34" s="106"/>
      <c r="C34" s="105"/>
      <c r="D34" s="105"/>
      <c r="E34" s="105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R34" s="92" t="s">
        <v>595</v>
      </c>
      <c r="S34" s="92" t="s">
        <v>596</v>
      </c>
      <c r="T34" s="92" t="s">
        <v>594</v>
      </c>
    </row>
    <row r="35" customFormat="false" ht="12.8" hidden="false" customHeight="false" outlineLevel="0" collapsed="false">
      <c r="A35" s="105"/>
      <c r="B35" s="106"/>
      <c r="C35" s="105"/>
      <c r="D35" s="105"/>
      <c r="E35" s="105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R35" s="92" t="s">
        <v>597</v>
      </c>
      <c r="S35" s="92" t="s">
        <v>598</v>
      </c>
      <c r="T35" s="92" t="s">
        <v>594</v>
      </c>
      <c r="U35" s="1" t="s">
        <v>599</v>
      </c>
    </row>
    <row r="36" customFormat="false" ht="12.8" hidden="false" customHeight="false" outlineLevel="0" collapsed="false">
      <c r="A36" s="105"/>
      <c r="B36" s="106"/>
      <c r="C36" s="105"/>
      <c r="D36" s="105"/>
      <c r="E36" s="105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R36" s="92" t="s">
        <v>600</v>
      </c>
      <c r="S36" s="92" t="s">
        <v>601</v>
      </c>
      <c r="T36" s="92" t="s">
        <v>602</v>
      </c>
      <c r="U36" s="1" t="s">
        <v>599</v>
      </c>
    </row>
    <row r="37" customFormat="false" ht="12.8" hidden="false" customHeight="false" outlineLevel="0" collapsed="false">
      <c r="A37" s="105"/>
      <c r="B37" s="106"/>
      <c r="C37" s="105"/>
      <c r="D37" s="105"/>
      <c r="E37" s="105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R37" s="92" t="s">
        <v>603</v>
      </c>
      <c r="S37" s="92" t="s">
        <v>570</v>
      </c>
      <c r="T37" s="92"/>
      <c r="U37" s="1" t="s">
        <v>599</v>
      </c>
    </row>
    <row r="38" customFormat="false" ht="12.8" hidden="false" customHeight="false" outlineLevel="0" collapsed="false">
      <c r="A38" s="105"/>
      <c r="B38" s="106"/>
      <c r="C38" s="105"/>
      <c r="D38" s="105"/>
      <c r="E38" s="105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39" customFormat="false" ht="12.8" hidden="false" customHeight="false" outlineLevel="0" collapsed="false">
      <c r="A39" s="105"/>
      <c r="B39" s="106"/>
      <c r="C39" s="105"/>
      <c r="D39" s="105"/>
      <c r="E39" s="105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</row>
    <row r="40" customFormat="false" ht="12.8" hidden="false" customHeight="false" outlineLevel="0" collapsed="false">
      <c r="A40" s="105"/>
      <c r="B40" s="106"/>
      <c r="C40" s="105"/>
      <c r="D40" s="105"/>
      <c r="E40" s="105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</row>
    <row r="41" customFormat="false" ht="12.8" hidden="false" customHeight="false" outlineLevel="0" collapsed="false">
      <c r="A41" s="105"/>
      <c r="B41" s="106"/>
      <c r="C41" s="105"/>
      <c r="D41" s="105"/>
      <c r="E41" s="105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R41" s="85" t="s">
        <v>604</v>
      </c>
      <c r="S41" s="85" t="s">
        <v>605</v>
      </c>
      <c r="T41" s="85" t="s">
        <v>606</v>
      </c>
      <c r="U41" s="85" t="s">
        <v>443</v>
      </c>
    </row>
    <row r="42" customFormat="false" ht="12.8" hidden="false" customHeight="false" outlineLevel="0" collapsed="false">
      <c r="A42" s="105"/>
      <c r="B42" s="106"/>
      <c r="C42" s="105"/>
      <c r="D42" s="105"/>
      <c r="E42" s="105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R42" s="86" t="s">
        <v>578</v>
      </c>
      <c r="S42" s="86" t="s">
        <v>607</v>
      </c>
      <c r="T42" s="86" t="s">
        <v>608</v>
      </c>
      <c r="U42" s="86" t="s">
        <v>609</v>
      </c>
    </row>
    <row r="43" customFormat="false" ht="12.8" hidden="false" customHeight="false" outlineLevel="0" collapsed="false">
      <c r="A43" s="105"/>
      <c r="B43" s="106"/>
      <c r="C43" s="105"/>
      <c r="D43" s="105"/>
      <c r="E43" s="105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R43" s="86" t="s">
        <v>610</v>
      </c>
      <c r="S43" s="86" t="s">
        <v>611</v>
      </c>
      <c r="T43" s="86" t="s">
        <v>608</v>
      </c>
      <c r="U43" s="86" t="s">
        <v>612</v>
      </c>
    </row>
    <row r="44" customFormat="false" ht="12.8" hidden="false" customHeight="false" outlineLevel="0" collapsed="false">
      <c r="A44" s="105"/>
      <c r="B44" s="106"/>
      <c r="C44" s="105"/>
      <c r="D44" s="105"/>
      <c r="E44" s="105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R44" s="86" t="s">
        <v>613</v>
      </c>
      <c r="S44" s="86" t="s">
        <v>614</v>
      </c>
      <c r="T44" s="86" t="s">
        <v>608</v>
      </c>
      <c r="U44" s="86" t="s">
        <v>612</v>
      </c>
    </row>
    <row r="45" customFormat="false" ht="12.8" hidden="false" customHeight="false" outlineLevel="0" collapsed="false">
      <c r="A45" s="105"/>
      <c r="B45" s="106"/>
      <c r="C45" s="105"/>
      <c r="D45" s="105"/>
      <c r="E45" s="105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R45" s="86" t="s">
        <v>615</v>
      </c>
      <c r="S45" s="86" t="s">
        <v>611</v>
      </c>
      <c r="T45" s="86" t="s">
        <v>608</v>
      </c>
      <c r="U45" s="86" t="s">
        <v>612</v>
      </c>
    </row>
    <row r="46" customFormat="false" ht="12.8" hidden="false" customHeight="false" outlineLevel="0" collapsed="false">
      <c r="A46" s="105"/>
      <c r="B46" s="106"/>
      <c r="C46" s="105"/>
      <c r="D46" s="105"/>
      <c r="E46" s="105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R46" s="86" t="s">
        <v>616</v>
      </c>
      <c r="S46" s="86" t="s">
        <v>617</v>
      </c>
      <c r="T46" s="86" t="s">
        <v>608</v>
      </c>
      <c r="U46" s="86" t="s">
        <v>618</v>
      </c>
    </row>
    <row r="47" customFormat="false" ht="12.8" hidden="false" customHeight="false" outlineLevel="0" collapsed="false">
      <c r="A47" s="105"/>
      <c r="B47" s="106"/>
      <c r="C47" s="105"/>
      <c r="D47" s="105"/>
      <c r="E47" s="105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R47" s="86" t="s">
        <v>619</v>
      </c>
      <c r="S47" s="86" t="s">
        <v>620</v>
      </c>
      <c r="T47" s="86" t="s">
        <v>621</v>
      </c>
      <c r="U47" s="86" t="s">
        <v>622</v>
      </c>
    </row>
    <row r="48" customFormat="false" ht="12.8" hidden="false" customHeight="false" outlineLevel="0" collapsed="false">
      <c r="A48" s="105"/>
      <c r="B48" s="106"/>
      <c r="C48" s="105"/>
      <c r="D48" s="105"/>
      <c r="E48" s="105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R48" s="86" t="s">
        <v>623</v>
      </c>
      <c r="S48" s="86" t="s">
        <v>624</v>
      </c>
      <c r="T48" s="86" t="s">
        <v>621</v>
      </c>
      <c r="U48" s="86" t="s">
        <v>625</v>
      </c>
    </row>
    <row r="53" customFormat="false" ht="12.8" hidden="false" customHeight="false" outlineLevel="0" collapsed="false">
      <c r="A53" s="89" t="s">
        <v>552</v>
      </c>
      <c r="B53" s="85" t="s">
        <v>343</v>
      </c>
      <c r="C53" s="85" t="s">
        <v>553</v>
      </c>
      <c r="D53" s="85" t="s">
        <v>554</v>
      </c>
      <c r="E53" s="85" t="s">
        <v>555</v>
      </c>
      <c r="F53" s="85" t="s">
        <v>556</v>
      </c>
      <c r="G53" s="85" t="s">
        <v>557</v>
      </c>
      <c r="H53" s="85" t="s">
        <v>558</v>
      </c>
      <c r="I53" s="85" t="s">
        <v>559</v>
      </c>
      <c r="J53" s="85" t="s">
        <v>560</v>
      </c>
      <c r="K53" s="85" t="s">
        <v>561</v>
      </c>
      <c r="L53" s="85" t="s">
        <v>562</v>
      </c>
      <c r="M53" s="85" t="s">
        <v>563</v>
      </c>
      <c r="N53" s="85" t="s">
        <v>564</v>
      </c>
      <c r="O53" s="85"/>
      <c r="P53" s="85"/>
    </row>
    <row r="54" customFormat="false" ht="12.8" hidden="false" customHeight="false" outlineLevel="0" collapsed="false">
      <c r="A54" s="89" t="s">
        <v>577</v>
      </c>
      <c r="B54" s="85" t="n">
        <f aca="false">VLOOKUP($A54,BD_SET,2,0)</f>
        <v>87</v>
      </c>
      <c r="C54" s="89" t="str">
        <f aca="false">VLOOKUP($A54,BD_SET,3,0)</f>
        <v>Brujo</v>
      </c>
      <c r="D54" s="89" t="str">
        <f aca="false">VLOOKUP($A54,BD_SET,4,0)</f>
        <v>Grifo</v>
      </c>
      <c r="E54" s="89" t="str">
        <f aca="false">VLOOKUP($A54,BD_SET,5,0)</f>
        <v>Armadura</v>
      </c>
      <c r="F54" s="103" t="n">
        <f aca="false">VLOOKUP($A54,BD_SET,6,0)</f>
        <v>0.3</v>
      </c>
      <c r="G54" s="103" t="n">
        <f aca="false">VLOOKUP($A54,BD_SET,7,0)</f>
        <v>0</v>
      </c>
      <c r="H54" s="103" t="n">
        <f aca="false">VLOOKUP($A54,BD_SET,8,0)</f>
        <v>0</v>
      </c>
      <c r="I54" s="103" t="n">
        <f aca="false">VLOOKUP($A54,BD_SET,9,0)</f>
        <v>0.25</v>
      </c>
      <c r="J54" s="103" t="n">
        <f aca="false">VLOOKUP($A54,BD_SET,10,0)</f>
        <v>0.2</v>
      </c>
      <c r="K54" s="103" t="n">
        <f aca="false">VLOOKUP($A54,BD_SET,11,0)</f>
        <v>0.2</v>
      </c>
      <c r="L54" s="103" t="n">
        <f aca="false">VLOOKUP($A54,BD_SET,12,0)</f>
        <v>0.2</v>
      </c>
      <c r="M54" s="103" t="n">
        <f aca="false">VLOOKUP($A54,BD_SET,13,0)</f>
        <v>0</v>
      </c>
      <c r="N54" s="103" t="n">
        <f aca="false">VLOOKUP($A54,BD_SET,14,0)</f>
        <v>0</v>
      </c>
      <c r="O54" s="103"/>
      <c r="P54" s="103"/>
    </row>
    <row r="55" customFormat="false" ht="12.8" hidden="false" customHeight="false" outlineLevel="0" collapsed="false">
      <c r="A55" s="89" t="s">
        <v>569</v>
      </c>
      <c r="B55" s="85" t="n">
        <f aca="false">VLOOKUP($A55,BD_SET,2,0)</f>
        <v>87</v>
      </c>
      <c r="C55" s="89" t="str">
        <f aca="false">VLOOKUP($A55,BD_SET,3,0)</f>
        <v>Brujo</v>
      </c>
      <c r="D55" s="89" t="str">
        <f aca="false">VLOOKUP($A55,BD_SET,4,0)</f>
        <v>Grifo</v>
      </c>
      <c r="E55" s="89" t="str">
        <f aca="false">VLOOKUP($A55,BD_SET,5,0)</f>
        <v>Botas</v>
      </c>
      <c r="F55" s="103" t="n">
        <f aca="false">VLOOKUP($A55,BD_SET,6,0)</f>
        <v>0.15</v>
      </c>
      <c r="G55" s="103" t="n">
        <f aca="false">VLOOKUP($A55,BD_SET,7,0)</f>
        <v>0</v>
      </c>
      <c r="H55" s="103" t="n">
        <f aca="false">VLOOKUP($A55,BD_SET,8,0)</f>
        <v>0</v>
      </c>
      <c r="I55" s="103" t="n">
        <f aca="false">VLOOKUP($A55,BD_SET,9,0)</f>
        <v>0.07</v>
      </c>
      <c r="J55" s="103" t="n">
        <f aca="false">VLOOKUP($A55,BD_SET,10,0)</f>
        <v>0.07</v>
      </c>
      <c r="K55" s="103" t="n">
        <f aca="false">VLOOKUP($A55,BD_SET,11,0)</f>
        <v>0.08</v>
      </c>
      <c r="L55" s="103" t="n">
        <f aca="false">VLOOKUP($A55,BD_SET,12,0)</f>
        <v>0.08</v>
      </c>
      <c r="M55" s="103" t="n">
        <f aca="false">VLOOKUP($A55,BD_SET,13,0)</f>
        <v>0</v>
      </c>
      <c r="N55" s="103" t="n">
        <f aca="false">VLOOKUP($A55,BD_SET,14,0)</f>
        <v>0</v>
      </c>
      <c r="O55" s="103"/>
      <c r="P55" s="103"/>
    </row>
    <row r="56" customFormat="false" ht="12.8" hidden="false" customHeight="false" outlineLevel="0" collapsed="false">
      <c r="A56" s="89" t="s">
        <v>581</v>
      </c>
      <c r="B56" s="85" t="n">
        <f aca="false">VLOOKUP($A56,BD_SET,2,0)</f>
        <v>87</v>
      </c>
      <c r="C56" s="89" t="str">
        <f aca="false">VLOOKUP($A56,BD_SET,3,0)</f>
        <v>Brujo</v>
      </c>
      <c r="D56" s="89" t="str">
        <f aca="false">VLOOKUP($A56,BD_SET,4,0)</f>
        <v>Grifo</v>
      </c>
      <c r="E56" s="89" t="str">
        <f aca="false">VLOOKUP($A56,BD_SET,5,0)</f>
        <v>Guantes</v>
      </c>
      <c r="F56" s="103" t="n">
        <f aca="false">VLOOKUP($A56,BD_SET,6,0)</f>
        <v>0.15</v>
      </c>
      <c r="G56" s="103" t="n">
        <f aca="false">VLOOKUP($A56,BD_SET,7,0)</f>
        <v>0</v>
      </c>
      <c r="H56" s="103" t="n">
        <f aca="false">VLOOKUP($A56,BD_SET,8,0)</f>
        <v>0</v>
      </c>
      <c r="I56" s="103" t="n">
        <f aca="false">VLOOKUP($A56,BD_SET,9,0)</f>
        <v>0.07</v>
      </c>
      <c r="J56" s="103" t="n">
        <f aca="false">VLOOKUP($A56,BD_SET,10,0)</f>
        <v>0</v>
      </c>
      <c r="K56" s="103" t="n">
        <f aca="false">VLOOKUP($A56,BD_SET,11,0)</f>
        <v>0.07</v>
      </c>
      <c r="L56" s="103" t="n">
        <f aca="false">VLOOKUP($A56,BD_SET,12,0)</f>
        <v>0.07</v>
      </c>
      <c r="M56" s="103" t="n">
        <f aca="false">VLOOKUP($A56,BD_SET,13,0)</f>
        <v>0.2</v>
      </c>
      <c r="N56" s="103" t="n">
        <f aca="false">VLOOKUP($A56,BD_SET,14,0)</f>
        <v>0</v>
      </c>
      <c r="O56" s="103"/>
      <c r="P56" s="103"/>
    </row>
    <row r="57" customFormat="false" ht="12.8" hidden="false" customHeight="false" outlineLevel="0" collapsed="false">
      <c r="A57" s="89" t="s">
        <v>585</v>
      </c>
      <c r="B57" s="85" t="n">
        <f aca="false">VLOOKUP($A57,BD_SET,2,0)</f>
        <v>87</v>
      </c>
      <c r="C57" s="89" t="str">
        <f aca="false">VLOOKUP($A57,BD_SET,3,0)</f>
        <v>Brujo</v>
      </c>
      <c r="D57" s="89" t="str">
        <f aca="false">VLOOKUP($A57,BD_SET,4,0)</f>
        <v>Grifo</v>
      </c>
      <c r="E57" s="89" t="str">
        <f aca="false">VLOOKUP($A57,BD_SET,5,0)</f>
        <v>Pantalón</v>
      </c>
      <c r="F57" s="103" t="n">
        <f aca="false">VLOOKUP($A57,BD_SET,6,0)</f>
        <v>0.15</v>
      </c>
      <c r="G57" s="103" t="n">
        <f aca="false">VLOOKUP($A57,BD_SET,7,0)</f>
        <v>0</v>
      </c>
      <c r="H57" s="103" t="n">
        <f aca="false">VLOOKUP($A57,BD_SET,8,0)</f>
        <v>0</v>
      </c>
      <c r="I57" s="103" t="n">
        <f aca="false">VLOOKUP($A57,BD_SET,9,0)</f>
        <v>0.09</v>
      </c>
      <c r="J57" s="103" t="n">
        <f aca="false">VLOOKUP($A57,BD_SET,10,0)</f>
        <v>0</v>
      </c>
      <c r="K57" s="103" t="n">
        <f aca="false">VLOOKUP($A57,BD_SET,11,0)</f>
        <v>0.12</v>
      </c>
      <c r="L57" s="103" t="n">
        <f aca="false">VLOOKUP($A57,BD_SET,12,0)</f>
        <v>0.14</v>
      </c>
      <c r="M57" s="103" t="n">
        <f aca="false">VLOOKUP($A57,BD_SET,13,0)</f>
        <v>0.45</v>
      </c>
      <c r="N57" s="103" t="n">
        <f aca="false">VLOOKUP($A57,BD_SET,14,0)</f>
        <v>0</v>
      </c>
      <c r="O57" s="103"/>
      <c r="P57" s="103"/>
    </row>
    <row r="58" customFormat="false" ht="12.8" hidden="false" customHeight="false" outlineLevel="0" collapsed="false">
      <c r="F58" s="104" t="n">
        <f aca="false">SUM(F54:F57)</f>
        <v>0.75</v>
      </c>
      <c r="G58" s="104" t="n">
        <f aca="false">SUM(G54:G57)</f>
        <v>0</v>
      </c>
      <c r="H58" s="104" t="n">
        <f aca="false">SUM(H54:H57)</f>
        <v>0</v>
      </c>
      <c r="I58" s="104" t="n">
        <f aca="false">SUM(I54:I57)</f>
        <v>0.48</v>
      </c>
      <c r="J58" s="104" t="n">
        <f aca="false">SUM(J54:J57)</f>
        <v>0.27</v>
      </c>
      <c r="K58" s="104" t="n">
        <f aca="false">SUM(K54:K57)</f>
        <v>0.47</v>
      </c>
      <c r="L58" s="104" t="n">
        <f aca="false">SUM(L54:L57)</f>
        <v>0.49</v>
      </c>
      <c r="M58" s="104" t="n">
        <f aca="false">SUM(M54:M57)</f>
        <v>0.65</v>
      </c>
      <c r="N58" s="104" t="n">
        <f aca="false">SUM(N54:N57)</f>
        <v>0</v>
      </c>
      <c r="O58" s="104"/>
      <c r="P58" s="104"/>
    </row>
    <row r="60" customFormat="false" ht="12.8" hidden="false" customHeight="false" outlineLevel="0" collapsed="false">
      <c r="A60" s="89" t="s">
        <v>552</v>
      </c>
      <c r="B60" s="85" t="s">
        <v>343</v>
      </c>
      <c r="C60" s="85" t="s">
        <v>553</v>
      </c>
      <c r="D60" s="85" t="s">
        <v>554</v>
      </c>
      <c r="E60" s="85" t="s">
        <v>555</v>
      </c>
      <c r="F60" s="85" t="s">
        <v>556</v>
      </c>
      <c r="G60" s="85" t="s">
        <v>557</v>
      </c>
      <c r="H60" s="85" t="s">
        <v>558</v>
      </c>
      <c r="I60" s="85" t="s">
        <v>559</v>
      </c>
      <c r="J60" s="85" t="s">
        <v>560</v>
      </c>
      <c r="K60" s="85" t="s">
        <v>561</v>
      </c>
      <c r="L60" s="85" t="s">
        <v>562</v>
      </c>
      <c r="M60" s="85" t="s">
        <v>563</v>
      </c>
      <c r="N60" s="85" t="s">
        <v>564</v>
      </c>
      <c r="O60" s="85"/>
      <c r="P60" s="85"/>
    </row>
    <row r="61" customFormat="false" ht="12.8" hidden="false" customHeight="false" outlineLevel="0" collapsed="false">
      <c r="A61" s="89" t="s">
        <v>565</v>
      </c>
      <c r="B61" s="85" t="n">
        <f aca="false">VLOOKUP($A61,BD_SET,2,0)</f>
        <v>87</v>
      </c>
      <c r="C61" s="89" t="str">
        <f aca="false">VLOOKUP($A61,BD_SET,3,0)</f>
        <v>Brujo</v>
      </c>
      <c r="D61" s="89" t="str">
        <f aca="false">VLOOKUP($A61,BD_SET,4,0)</f>
        <v>Felinas</v>
      </c>
      <c r="E61" s="89" t="str">
        <f aca="false">VLOOKUP($A61,BD_SET,5,0)</f>
        <v>Armadura</v>
      </c>
      <c r="F61" s="103" t="n">
        <f aca="false">VLOOKUP($A61,BD_SET,6,0)</f>
        <v>0</v>
      </c>
      <c r="G61" s="103" t="n">
        <f aca="false">VLOOKUP($A61,BD_SET,7,0)</f>
        <v>0</v>
      </c>
      <c r="H61" s="103" t="n">
        <f aca="false">VLOOKUP($A61,BD_SET,8,0)</f>
        <v>0.3</v>
      </c>
      <c r="I61" s="103" t="n">
        <f aca="false">VLOOKUP($A61,BD_SET,9,0)</f>
        <v>0.2</v>
      </c>
      <c r="J61" s="103" t="n">
        <f aca="false">VLOOKUP($A61,BD_SET,10,0)</f>
        <v>0</v>
      </c>
      <c r="K61" s="103" t="n">
        <f aca="false">VLOOKUP($A61,BD_SET,11,0)</f>
        <v>0.25</v>
      </c>
      <c r="L61" s="103" t="n">
        <f aca="false">VLOOKUP($A61,BD_SET,12,0)</f>
        <v>0.25</v>
      </c>
      <c r="M61" s="103" t="n">
        <f aca="false">VLOOKUP($A61,BD_SET,13,0)</f>
        <v>0.48</v>
      </c>
      <c r="N61" s="103" t="n">
        <f aca="false">VLOOKUP($A61,BD_SET,14,0)</f>
        <v>0</v>
      </c>
      <c r="O61" s="103"/>
      <c r="P61" s="103"/>
    </row>
    <row r="62" customFormat="false" ht="12.8" hidden="false" customHeight="false" outlineLevel="0" collapsed="false">
      <c r="A62" s="89" t="s">
        <v>566</v>
      </c>
      <c r="B62" s="85" t="n">
        <f aca="false">VLOOKUP($A62,BD_SET,2,0)</f>
        <v>87</v>
      </c>
      <c r="C62" s="89" t="str">
        <f aca="false">VLOOKUP($A62,BD_SET,3,0)</f>
        <v>Brujo</v>
      </c>
      <c r="D62" s="89" t="str">
        <f aca="false">VLOOKUP($A62,BD_SET,4,0)</f>
        <v>Felinas</v>
      </c>
      <c r="E62" s="89" t="str">
        <f aca="false">VLOOKUP($A62,BD_SET,5,0)</f>
        <v>Botas</v>
      </c>
      <c r="F62" s="103" t="n">
        <f aca="false">VLOOKUP($A62,BD_SET,6,0)</f>
        <v>0</v>
      </c>
      <c r="G62" s="103" t="n">
        <f aca="false">VLOOKUP($A62,BD_SET,7,0)</f>
        <v>0</v>
      </c>
      <c r="H62" s="103" t="n">
        <f aca="false">VLOOKUP($A62,BD_SET,8,0)</f>
        <v>0.15</v>
      </c>
      <c r="I62" s="103" t="n">
        <f aca="false">VLOOKUP($A62,BD_SET,9,0)</f>
        <v>0.06</v>
      </c>
      <c r="J62" s="103" t="n">
        <f aca="false">VLOOKUP($A62,BD_SET,10,0)</f>
        <v>0</v>
      </c>
      <c r="K62" s="103" t="n">
        <f aca="false">VLOOKUP($A62,BD_SET,11,0)</f>
        <v>0.08</v>
      </c>
      <c r="L62" s="103" t="n">
        <f aca="false">VLOOKUP($A62,BD_SET,12,0)</f>
        <v>0.08</v>
      </c>
      <c r="M62" s="103" t="n">
        <f aca="false">VLOOKUP($A62,BD_SET,13,0)</f>
        <v>0.08</v>
      </c>
      <c r="N62" s="103" t="n">
        <f aca="false">VLOOKUP($A62,BD_SET,14,0)</f>
        <v>0</v>
      </c>
      <c r="O62" s="103"/>
      <c r="P62" s="103"/>
    </row>
    <row r="63" customFormat="false" ht="12.8" hidden="false" customHeight="false" outlineLevel="0" collapsed="false">
      <c r="A63" s="89" t="s">
        <v>567</v>
      </c>
      <c r="B63" s="85" t="n">
        <f aca="false">VLOOKUP($A63,BD_SET,2,0)</f>
        <v>87</v>
      </c>
      <c r="C63" s="89" t="str">
        <f aca="false">VLOOKUP($A63,BD_SET,3,0)</f>
        <v>Brujo</v>
      </c>
      <c r="D63" s="89" t="str">
        <f aca="false">VLOOKUP($A63,BD_SET,4,0)</f>
        <v>Felinas</v>
      </c>
      <c r="E63" s="89" t="str">
        <f aca="false">VLOOKUP($A63,BD_SET,5,0)</f>
        <v>Guantes</v>
      </c>
      <c r="F63" s="103" t="n">
        <f aca="false">VLOOKUP($A63,BD_SET,6,0)</f>
        <v>0</v>
      </c>
      <c r="G63" s="103" t="n">
        <f aca="false">VLOOKUP($A63,BD_SET,7,0)</f>
        <v>0</v>
      </c>
      <c r="H63" s="103" t="n">
        <f aca="false">VLOOKUP($A63,BD_SET,8,0)</f>
        <v>0.15</v>
      </c>
      <c r="I63" s="103" t="n">
        <f aca="false">VLOOKUP($A63,BD_SET,9,0)</f>
        <v>0.06</v>
      </c>
      <c r="J63" s="103" t="n">
        <f aca="false">VLOOKUP($A63,BD_SET,10,0)</f>
        <v>0</v>
      </c>
      <c r="K63" s="103" t="n">
        <f aca="false">VLOOKUP($A63,BD_SET,11,0)</f>
        <v>0.07</v>
      </c>
      <c r="L63" s="103" t="n">
        <f aca="false">VLOOKUP($A63,BD_SET,12,0)</f>
        <v>0.07</v>
      </c>
      <c r="M63" s="103" t="n">
        <f aca="false">VLOOKUP($A63,BD_SET,13,0)</f>
        <v>0.07</v>
      </c>
      <c r="N63" s="103" t="n">
        <f aca="false">VLOOKUP($A63,BD_SET,14,0)</f>
        <v>0</v>
      </c>
      <c r="O63" s="103"/>
      <c r="P63" s="103"/>
    </row>
    <row r="64" customFormat="false" ht="12.8" hidden="false" customHeight="false" outlineLevel="0" collapsed="false">
      <c r="A64" s="89" t="s">
        <v>568</v>
      </c>
      <c r="B64" s="85" t="n">
        <f aca="false">VLOOKUP($A64,BD_SET,2,0)</f>
        <v>87</v>
      </c>
      <c r="C64" s="89" t="str">
        <f aca="false">VLOOKUP($A64,BD_SET,3,0)</f>
        <v>Brujo</v>
      </c>
      <c r="D64" s="89" t="str">
        <f aca="false">VLOOKUP($A64,BD_SET,4,0)</f>
        <v>Felinas</v>
      </c>
      <c r="E64" s="89" t="str">
        <f aca="false">VLOOKUP($A64,BD_SET,5,0)</f>
        <v>Pantalón</v>
      </c>
      <c r="F64" s="103" t="n">
        <f aca="false">VLOOKUP($A64,BD_SET,6,0)</f>
        <v>0</v>
      </c>
      <c r="G64" s="103" t="n">
        <f aca="false">VLOOKUP($A64,BD_SET,7,0)</f>
        <v>0</v>
      </c>
      <c r="H64" s="103" t="n">
        <f aca="false">VLOOKUP($A64,BD_SET,8,0)</f>
        <v>0.15</v>
      </c>
      <c r="I64" s="103" t="n">
        <f aca="false">VLOOKUP($A64,BD_SET,9,0)</f>
        <v>0.08</v>
      </c>
      <c r="J64" s="103" t="n">
        <f aca="false">VLOOKUP($A64,BD_SET,10,0)</f>
        <v>0</v>
      </c>
      <c r="K64" s="103" t="n">
        <f aca="false">VLOOKUP($A64,BD_SET,11,0)</f>
        <v>0.1</v>
      </c>
      <c r="L64" s="103" t="n">
        <f aca="false">VLOOKUP($A64,BD_SET,12,0)</f>
        <v>0.1</v>
      </c>
      <c r="M64" s="103" t="n">
        <f aca="false">VLOOKUP($A64,BD_SET,13,0)</f>
        <v>0.17</v>
      </c>
      <c r="N64" s="103" t="n">
        <f aca="false">VLOOKUP($A64,BD_SET,14,0)</f>
        <v>0</v>
      </c>
      <c r="O64" s="103"/>
      <c r="P64" s="103"/>
    </row>
    <row r="65" customFormat="false" ht="12.8" hidden="false" customHeight="false" outlineLevel="0" collapsed="false">
      <c r="F65" s="104" t="n">
        <f aca="false">SUM(F61:F64)</f>
        <v>0</v>
      </c>
      <c r="G65" s="104" t="n">
        <f aca="false">SUM(G61:G64)</f>
        <v>0</v>
      </c>
      <c r="H65" s="104" t="n">
        <f aca="false">SUM(H61:H64)</f>
        <v>0.75</v>
      </c>
      <c r="I65" s="104" t="n">
        <f aca="false">SUM(I61:I64)</f>
        <v>0.4</v>
      </c>
      <c r="J65" s="104" t="n">
        <f aca="false">SUM(J61:J64)</f>
        <v>0</v>
      </c>
      <c r="K65" s="104" t="n">
        <f aca="false">SUM(K61:K64)</f>
        <v>0.5</v>
      </c>
      <c r="L65" s="104" t="n">
        <f aca="false">SUM(L61:L64)</f>
        <v>0.5</v>
      </c>
      <c r="M65" s="104" t="n">
        <f aca="false">SUM(M61:M64)</f>
        <v>0.8</v>
      </c>
      <c r="N65" s="104" t="n">
        <f aca="false">SUM(N61:N64)</f>
        <v>0</v>
      </c>
      <c r="O65" s="104"/>
      <c r="P65" s="104"/>
    </row>
    <row r="67" customFormat="false" ht="12.8" hidden="false" customHeight="false" outlineLevel="0" collapsed="false">
      <c r="A67" s="89" t="s">
        <v>552</v>
      </c>
      <c r="B67" s="85" t="s">
        <v>343</v>
      </c>
      <c r="C67" s="85" t="s">
        <v>553</v>
      </c>
      <c r="D67" s="85" t="s">
        <v>554</v>
      </c>
      <c r="E67" s="85" t="s">
        <v>555</v>
      </c>
      <c r="F67" s="85" t="s">
        <v>556</v>
      </c>
      <c r="G67" s="85" t="s">
        <v>557</v>
      </c>
      <c r="H67" s="85" t="s">
        <v>558</v>
      </c>
      <c r="I67" s="85" t="s">
        <v>559</v>
      </c>
      <c r="J67" s="85" t="s">
        <v>560</v>
      </c>
      <c r="K67" s="85" t="s">
        <v>561</v>
      </c>
      <c r="L67" s="85" t="s">
        <v>562</v>
      </c>
      <c r="M67" s="85" t="s">
        <v>563</v>
      </c>
      <c r="N67" s="85" t="s">
        <v>564</v>
      </c>
      <c r="O67" s="85"/>
      <c r="P67" s="85"/>
    </row>
    <row r="68" customFormat="false" ht="12.8" hidden="false" customHeight="false" outlineLevel="0" collapsed="false">
      <c r="A68" s="89" t="s">
        <v>579</v>
      </c>
      <c r="B68" s="85" t="n">
        <f aca="false">VLOOKUP($A68,BD_SET,2,0)</f>
        <v>87</v>
      </c>
      <c r="C68" s="89" t="str">
        <f aca="false">VLOOKUP($A68,BD_SET,3,0)</f>
        <v>Brujo</v>
      </c>
      <c r="D68" s="89" t="str">
        <f aca="false">VLOOKUP($A68,BD_SET,4,0)</f>
        <v>Lobezno</v>
      </c>
      <c r="E68" s="89" t="str">
        <f aca="false">VLOOKUP($A68,BD_SET,5,0)</f>
        <v>Armadura</v>
      </c>
      <c r="F68" s="103" t="n">
        <f aca="false">VLOOKUP($A68,BD_SET,6,0)</f>
        <v>0</v>
      </c>
      <c r="G68" s="103" t="n">
        <f aca="false">VLOOKUP($A68,BD_SET,7,0)</f>
        <v>0.3</v>
      </c>
      <c r="H68" s="103" t="n">
        <f aca="false">VLOOKUP($A68,BD_SET,8,0)</f>
        <v>0</v>
      </c>
      <c r="I68" s="103" t="n">
        <f aca="false">VLOOKUP($A68,BD_SET,9,0)</f>
        <v>0.25</v>
      </c>
      <c r="J68" s="103" t="n">
        <f aca="false">VLOOKUP($A68,BD_SET,10,0)</f>
        <v>0.2</v>
      </c>
      <c r="K68" s="103" t="n">
        <f aca="false">VLOOKUP($A68,BD_SET,11,0)</f>
        <v>0.32</v>
      </c>
      <c r="L68" s="103" t="n">
        <f aca="false">VLOOKUP($A68,BD_SET,12,0)</f>
        <v>0.36</v>
      </c>
      <c r="M68" s="103" t="n">
        <f aca="false">VLOOKUP($A68,BD_SET,13,0)</f>
        <v>0</v>
      </c>
      <c r="N68" s="103" t="n">
        <f aca="false">VLOOKUP($A68,BD_SET,14,0)</f>
        <v>0</v>
      </c>
      <c r="O68" s="103"/>
      <c r="P68" s="103"/>
    </row>
    <row r="69" customFormat="false" ht="12.8" hidden="false" customHeight="false" outlineLevel="0" collapsed="false">
      <c r="A69" s="89" t="s">
        <v>573</v>
      </c>
      <c r="B69" s="85" t="n">
        <f aca="false">VLOOKUP($A69,BD_SET,2,0)</f>
        <v>87</v>
      </c>
      <c r="C69" s="89" t="str">
        <f aca="false">VLOOKUP($A69,BD_SET,3,0)</f>
        <v>Brujo</v>
      </c>
      <c r="D69" s="89" t="str">
        <f aca="false">VLOOKUP($A69,BD_SET,4,0)</f>
        <v>Lobezno</v>
      </c>
      <c r="E69" s="89" t="str">
        <f aca="false">VLOOKUP($A69,BD_SET,5,0)</f>
        <v>Botas</v>
      </c>
      <c r="F69" s="103" t="n">
        <f aca="false">VLOOKUP($A69,BD_SET,6,0)</f>
        <v>0</v>
      </c>
      <c r="G69" s="103" t="n">
        <f aca="false">VLOOKUP($A69,BD_SET,7,0)</f>
        <v>0</v>
      </c>
      <c r="H69" s="103" t="n">
        <f aca="false">VLOOKUP($A69,BD_SET,8,0)</f>
        <v>0.15</v>
      </c>
      <c r="I69" s="103" t="n">
        <f aca="false">VLOOKUP($A69,BD_SET,9,0)</f>
        <v>0.07</v>
      </c>
      <c r="J69" s="103" t="n">
        <f aca="false">VLOOKUP($A69,BD_SET,10,0)</f>
        <v>0.04</v>
      </c>
      <c r="K69" s="103" t="n">
        <f aca="false">VLOOKUP($A69,BD_SET,11,0)</f>
        <v>0.08</v>
      </c>
      <c r="L69" s="103" t="n">
        <f aca="false">VLOOKUP($A69,BD_SET,12,0)</f>
        <v>0.08</v>
      </c>
      <c r="M69" s="103" t="n">
        <f aca="false">VLOOKUP($A69,BD_SET,13,0)</f>
        <v>0</v>
      </c>
      <c r="N69" s="103" t="n">
        <f aca="false">VLOOKUP($A69,BD_SET,14,0)</f>
        <v>0</v>
      </c>
      <c r="O69" s="103"/>
      <c r="P69" s="103"/>
    </row>
    <row r="70" customFormat="false" ht="12.8" hidden="false" customHeight="false" outlineLevel="0" collapsed="false">
      <c r="A70" s="89" t="s">
        <v>583</v>
      </c>
      <c r="B70" s="85" t="n">
        <f aca="false">VLOOKUP($A70,BD_SET,2,0)</f>
        <v>87</v>
      </c>
      <c r="C70" s="89" t="str">
        <f aca="false">VLOOKUP($A70,BD_SET,3,0)</f>
        <v>Brujo</v>
      </c>
      <c r="D70" s="89" t="str">
        <f aca="false">VLOOKUP($A70,BD_SET,4,0)</f>
        <v>Lobezno</v>
      </c>
      <c r="E70" s="89" t="str">
        <f aca="false">VLOOKUP($A70,BD_SET,5,0)</f>
        <v>Guantes</v>
      </c>
      <c r="F70" s="103" t="n">
        <f aca="false">VLOOKUP($A70,BD_SET,6,0)</f>
        <v>0.15</v>
      </c>
      <c r="G70" s="103" t="n">
        <f aca="false">VLOOKUP($A70,BD_SET,7,0)</f>
        <v>0</v>
      </c>
      <c r="H70" s="103" t="n">
        <f aca="false">VLOOKUP($A70,BD_SET,8,0)</f>
        <v>0</v>
      </c>
      <c r="I70" s="103" t="n">
        <f aca="false">VLOOKUP($A70,BD_SET,9,0)</f>
        <v>0.07</v>
      </c>
      <c r="J70" s="103" t="n">
        <f aca="false">VLOOKUP($A70,BD_SET,10,0)</f>
        <v>0</v>
      </c>
      <c r="K70" s="103" t="n">
        <f aca="false">VLOOKUP($A70,BD_SET,11,0)</f>
        <v>0.07</v>
      </c>
      <c r="L70" s="103" t="n">
        <f aca="false">VLOOKUP($A70,BD_SET,12,0)</f>
        <v>0.07</v>
      </c>
      <c r="M70" s="103" t="n">
        <f aca="false">VLOOKUP($A70,BD_SET,13,0)</f>
        <v>0.2</v>
      </c>
      <c r="N70" s="103" t="n">
        <f aca="false">VLOOKUP($A70,BD_SET,14,0)</f>
        <v>0</v>
      </c>
      <c r="O70" s="103"/>
      <c r="P70" s="103"/>
    </row>
    <row r="71" customFormat="false" ht="12.8" hidden="false" customHeight="false" outlineLevel="0" collapsed="false">
      <c r="A71" s="89" t="s">
        <v>587</v>
      </c>
      <c r="B71" s="85" t="n">
        <f aca="false">VLOOKUP($A71,BD_SET,2,0)</f>
        <v>87</v>
      </c>
      <c r="C71" s="89" t="str">
        <f aca="false">VLOOKUP($A71,BD_SET,3,0)</f>
        <v>Brujo</v>
      </c>
      <c r="D71" s="89" t="str">
        <f aca="false">VLOOKUP($A71,BD_SET,4,0)</f>
        <v>Lobezno</v>
      </c>
      <c r="E71" s="89" t="str">
        <f aca="false">VLOOKUP($A71,BD_SET,5,0)</f>
        <v>Pantalón</v>
      </c>
      <c r="F71" s="103" t="n">
        <f aca="false">VLOOKUP($A71,BD_SET,6,0)</f>
        <v>0.15</v>
      </c>
      <c r="G71" s="103" t="n">
        <f aca="false">VLOOKUP($A71,BD_SET,7,0)</f>
        <v>0</v>
      </c>
      <c r="H71" s="103" t="n">
        <f aca="false">VLOOKUP($A71,BD_SET,8,0)</f>
        <v>0.15</v>
      </c>
      <c r="I71" s="103" t="n">
        <f aca="false">VLOOKUP($A71,BD_SET,9,0)</f>
        <v>0</v>
      </c>
      <c r="J71" s="103" t="n">
        <f aca="false">VLOOKUP($A71,BD_SET,10,0)</f>
        <v>0</v>
      </c>
      <c r="K71" s="103" t="n">
        <f aca="false">VLOOKUP($A71,BD_SET,11,0)</f>
        <v>0.12</v>
      </c>
      <c r="L71" s="103" t="n">
        <f aca="false">VLOOKUP($A71,BD_SET,12,0)</f>
        <v>0.14</v>
      </c>
      <c r="M71" s="103" t="n">
        <f aca="false">VLOOKUP($A71,BD_SET,13,0)</f>
        <v>0.45</v>
      </c>
      <c r="N71" s="103" t="n">
        <f aca="false">VLOOKUP($A71,BD_SET,14,0)</f>
        <v>0</v>
      </c>
      <c r="O71" s="103"/>
      <c r="P71" s="103"/>
    </row>
    <row r="72" customFormat="false" ht="12.8" hidden="false" customHeight="false" outlineLevel="0" collapsed="false">
      <c r="F72" s="104" t="n">
        <f aca="false">SUM(F68:F71)</f>
        <v>0.3</v>
      </c>
      <c r="G72" s="104" t="n">
        <f aca="false">SUM(G68:G71)</f>
        <v>0.3</v>
      </c>
      <c r="H72" s="104" t="n">
        <f aca="false">SUM(H68:H71)</f>
        <v>0.3</v>
      </c>
      <c r="I72" s="104" t="n">
        <f aca="false">SUM(I68:I71)</f>
        <v>0.39</v>
      </c>
      <c r="J72" s="104" t="n">
        <f aca="false">SUM(J68:J71)</f>
        <v>0.24</v>
      </c>
      <c r="K72" s="104" t="n">
        <f aca="false">SUM(K68:K71)</f>
        <v>0.59</v>
      </c>
      <c r="L72" s="104" t="n">
        <f aca="false">SUM(L68:L71)</f>
        <v>0.65</v>
      </c>
      <c r="M72" s="104" t="n">
        <f aca="false">SUM(M68:M71)</f>
        <v>0.65</v>
      </c>
      <c r="N72" s="104" t="n">
        <f aca="false">SUM(N68:N71)</f>
        <v>0</v>
      </c>
      <c r="O72" s="104"/>
      <c r="P72" s="104"/>
    </row>
    <row r="74" customFormat="false" ht="12.8" hidden="false" customHeight="false" outlineLevel="0" collapsed="false">
      <c r="A74" s="89" t="s">
        <v>552</v>
      </c>
      <c r="B74" s="85" t="s">
        <v>343</v>
      </c>
      <c r="C74" s="85" t="s">
        <v>553</v>
      </c>
      <c r="D74" s="85" t="s">
        <v>554</v>
      </c>
      <c r="E74" s="85" t="s">
        <v>555</v>
      </c>
      <c r="F74" s="85" t="s">
        <v>556</v>
      </c>
      <c r="G74" s="85" t="s">
        <v>557</v>
      </c>
      <c r="H74" s="85" t="s">
        <v>558</v>
      </c>
      <c r="I74" s="85" t="s">
        <v>559</v>
      </c>
      <c r="J74" s="85" t="s">
        <v>560</v>
      </c>
      <c r="K74" s="85" t="s">
        <v>561</v>
      </c>
      <c r="L74" s="85" t="s">
        <v>562</v>
      </c>
      <c r="M74" s="85" t="s">
        <v>563</v>
      </c>
      <c r="N74" s="85" t="s">
        <v>564</v>
      </c>
      <c r="O74" s="85"/>
      <c r="P74" s="85"/>
    </row>
    <row r="75" customFormat="false" ht="12.8" hidden="false" customHeight="false" outlineLevel="0" collapsed="false">
      <c r="A75" s="89" t="s">
        <v>580</v>
      </c>
      <c r="B75" s="85" t="n">
        <f aca="false">VLOOKUP($A75,BD_SET,2,0)</f>
        <v>87</v>
      </c>
      <c r="C75" s="89" t="str">
        <f aca="false">VLOOKUP($A75,BD_SET,3,0)</f>
        <v>Brujo</v>
      </c>
      <c r="D75" s="89" t="str">
        <f aca="false">VLOOKUP($A75,BD_SET,4,0)</f>
        <v>Osuna</v>
      </c>
      <c r="E75" s="89" t="str">
        <f aca="false">VLOOKUP($A75,BD_SET,5,0)</f>
        <v>Armadura</v>
      </c>
      <c r="F75" s="103" t="n">
        <f aca="false">VLOOKUP($A75,BD_SET,6,0)</f>
        <v>0</v>
      </c>
      <c r="G75" s="103" t="n">
        <f aca="false">VLOOKUP($A75,BD_SET,7,0)</f>
        <v>0.3</v>
      </c>
      <c r="H75" s="103" t="n">
        <f aca="false">VLOOKUP($A75,BD_SET,8,0)</f>
        <v>0</v>
      </c>
      <c r="I75" s="103" t="n">
        <f aca="false">VLOOKUP($A75,BD_SET,9,0)</f>
        <v>0.3</v>
      </c>
      <c r="J75" s="103" t="n">
        <f aca="false">VLOOKUP($A75,BD_SET,10,0)</f>
        <v>0.3</v>
      </c>
      <c r="K75" s="103" t="n">
        <f aca="false">VLOOKUP($A75,BD_SET,11,0)</f>
        <v>0.4</v>
      </c>
      <c r="L75" s="103" t="n">
        <f aca="false">VLOOKUP($A75,BD_SET,12,0)</f>
        <v>0.48</v>
      </c>
      <c r="M75" s="103" t="n">
        <f aca="false">VLOOKUP($A75,BD_SET,13,0)</f>
        <v>0</v>
      </c>
      <c r="N75" s="103" t="n">
        <f aca="false">VLOOKUP($A75,BD_SET,14,0)</f>
        <v>0</v>
      </c>
      <c r="O75" s="103"/>
      <c r="P75" s="103"/>
    </row>
    <row r="76" customFormat="false" ht="12.8" hidden="false" customHeight="false" outlineLevel="0" collapsed="false">
      <c r="A76" s="89" t="s">
        <v>575</v>
      </c>
      <c r="B76" s="85" t="n">
        <f aca="false">VLOOKUP($A76,BD_SET,2,0)</f>
        <v>87</v>
      </c>
      <c r="C76" s="89" t="str">
        <f aca="false">VLOOKUP($A76,BD_SET,3,0)</f>
        <v>Brujo</v>
      </c>
      <c r="D76" s="89" t="str">
        <f aca="false">VLOOKUP($A76,BD_SET,4,0)</f>
        <v>Osuna</v>
      </c>
      <c r="E76" s="89" t="str">
        <f aca="false">VLOOKUP($A76,BD_SET,5,0)</f>
        <v>Botas</v>
      </c>
      <c r="F76" s="103" t="n">
        <f aca="false">VLOOKUP($A76,BD_SET,6,0)</f>
        <v>0</v>
      </c>
      <c r="G76" s="103" t="n">
        <f aca="false">VLOOKUP($A76,BD_SET,7,0)</f>
        <v>0.15</v>
      </c>
      <c r="H76" s="103" t="n">
        <f aca="false">VLOOKUP($A76,BD_SET,8,0)</f>
        <v>0</v>
      </c>
      <c r="I76" s="103" t="n">
        <f aca="false">VLOOKUP($A76,BD_SET,9,0)</f>
        <v>0.08</v>
      </c>
      <c r="J76" s="103" t="n">
        <f aca="false">VLOOKUP($A76,BD_SET,10,0)</f>
        <v>0.1</v>
      </c>
      <c r="K76" s="103" t="n">
        <f aca="false">VLOOKUP($A76,BD_SET,11,0)</f>
        <v>0.08</v>
      </c>
      <c r="L76" s="103" t="n">
        <f aca="false">VLOOKUP($A76,BD_SET,12,0)</f>
        <v>0.08</v>
      </c>
      <c r="M76" s="103" t="n">
        <f aca="false">VLOOKUP($A76,BD_SET,13,0)</f>
        <v>0</v>
      </c>
      <c r="N76" s="103" t="n">
        <f aca="false">VLOOKUP($A76,BD_SET,14,0)</f>
        <v>0</v>
      </c>
      <c r="O76" s="103"/>
      <c r="P76" s="103"/>
    </row>
    <row r="77" customFormat="false" ht="12.8" hidden="false" customHeight="false" outlineLevel="0" collapsed="false">
      <c r="A77" s="89" t="s">
        <v>584</v>
      </c>
      <c r="B77" s="85" t="n">
        <f aca="false">VLOOKUP($A77,BD_SET,2,0)</f>
        <v>87</v>
      </c>
      <c r="C77" s="89" t="str">
        <f aca="false">VLOOKUP($A77,BD_SET,3,0)</f>
        <v>Brujo</v>
      </c>
      <c r="D77" s="89" t="str">
        <f aca="false">VLOOKUP($A77,BD_SET,4,0)</f>
        <v>Osuna</v>
      </c>
      <c r="E77" s="89" t="str">
        <f aca="false">VLOOKUP($A77,BD_SET,5,0)</f>
        <v>Guantes</v>
      </c>
      <c r="F77" s="103" t="n">
        <f aca="false">VLOOKUP($A77,BD_SET,6,0)</f>
        <v>0</v>
      </c>
      <c r="G77" s="103" t="n">
        <f aca="false">VLOOKUP($A77,BD_SET,7,0)</f>
        <v>0.15</v>
      </c>
      <c r="H77" s="103" t="n">
        <f aca="false">VLOOKUP($A77,BD_SET,8,0)</f>
        <v>0</v>
      </c>
      <c r="I77" s="103" t="n">
        <f aca="false">VLOOKUP($A77,BD_SET,9,0)</f>
        <v>0.07</v>
      </c>
      <c r="J77" s="103" t="n">
        <f aca="false">VLOOKUP($A77,BD_SET,10,0)</f>
        <v>0</v>
      </c>
      <c r="K77" s="103" t="n">
        <f aca="false">VLOOKUP($A77,BD_SET,11,0)</f>
        <v>0.07</v>
      </c>
      <c r="L77" s="103" t="n">
        <f aca="false">VLOOKUP($A77,BD_SET,12,0)</f>
        <v>0.07</v>
      </c>
      <c r="M77" s="103" t="n">
        <f aca="false">VLOOKUP($A77,BD_SET,13,0)</f>
        <v>0.1</v>
      </c>
      <c r="N77" s="103" t="n">
        <f aca="false">VLOOKUP($A77,BD_SET,14,0)</f>
        <v>0</v>
      </c>
      <c r="O77" s="103"/>
      <c r="P77" s="103"/>
    </row>
    <row r="78" customFormat="false" ht="12.8" hidden="false" customHeight="false" outlineLevel="0" collapsed="false">
      <c r="A78" s="89" t="s">
        <v>588</v>
      </c>
      <c r="B78" s="85" t="n">
        <f aca="false">VLOOKUP($A78,BD_SET,2,0)</f>
        <v>87</v>
      </c>
      <c r="C78" s="89" t="str">
        <f aca="false">VLOOKUP($A78,BD_SET,3,0)</f>
        <v>Brujo</v>
      </c>
      <c r="D78" s="89" t="str">
        <f aca="false">VLOOKUP($A78,BD_SET,4,0)</f>
        <v>Osuna</v>
      </c>
      <c r="E78" s="89" t="str">
        <f aca="false">VLOOKUP($A78,BD_SET,5,0)</f>
        <v>Pantalón</v>
      </c>
      <c r="F78" s="103" t="n">
        <f aca="false">VLOOKUP($A78,BD_SET,6,0)</f>
        <v>0</v>
      </c>
      <c r="G78" s="103" t="n">
        <f aca="false">VLOOKUP($A78,BD_SET,7,0)</f>
        <v>0.15</v>
      </c>
      <c r="H78" s="103" t="n">
        <f aca="false">VLOOKUP($A78,BD_SET,8,0)</f>
        <v>0</v>
      </c>
      <c r="I78" s="103" t="n">
        <f aca="false">VLOOKUP($A78,BD_SET,9,0)</f>
        <v>0.1</v>
      </c>
      <c r="J78" s="103" t="n">
        <f aca="false">VLOOKUP($A78,BD_SET,10,0)</f>
        <v>0</v>
      </c>
      <c r="K78" s="103" t="n">
        <f aca="false">VLOOKUP($A78,BD_SET,11,0)</f>
        <v>0.15</v>
      </c>
      <c r="L78" s="103" t="n">
        <f aca="false">VLOOKUP($A78,BD_SET,12,0)</f>
        <v>0.17</v>
      </c>
      <c r="M78" s="103" t="n">
        <f aca="false">VLOOKUP($A78,BD_SET,13,0)</f>
        <v>0.4</v>
      </c>
      <c r="N78" s="103" t="n">
        <f aca="false">VLOOKUP($A78,BD_SET,14,0)</f>
        <v>0</v>
      </c>
      <c r="O78" s="103"/>
      <c r="P78" s="103"/>
    </row>
    <row r="79" customFormat="false" ht="12.8" hidden="false" customHeight="false" outlineLevel="0" collapsed="false">
      <c r="F79" s="104" t="n">
        <f aca="false">SUM(F75:F78)</f>
        <v>0</v>
      </c>
      <c r="G79" s="104" t="n">
        <f aca="false">SUM(G75:G78)</f>
        <v>0.75</v>
      </c>
      <c r="H79" s="104" t="n">
        <f aca="false">SUM(H75:H78)</f>
        <v>0</v>
      </c>
      <c r="I79" s="104" t="n">
        <f aca="false">SUM(I75:I78)</f>
        <v>0.55</v>
      </c>
      <c r="J79" s="104" t="n">
        <f aca="false">SUM(J75:J78)</f>
        <v>0.4</v>
      </c>
      <c r="K79" s="104" t="n">
        <f aca="false">SUM(K75:K78)</f>
        <v>0.7</v>
      </c>
      <c r="L79" s="104" t="n">
        <f aca="false">SUM(L75:L78)</f>
        <v>0.8</v>
      </c>
      <c r="M79" s="104" t="n">
        <f aca="false">SUM(M75:M78)</f>
        <v>0.5</v>
      </c>
      <c r="N79" s="104" t="n">
        <f aca="false">SUM(N75:N78)</f>
        <v>0</v>
      </c>
      <c r="O79" s="104"/>
      <c r="P79" s="104"/>
    </row>
    <row r="81" customFormat="false" ht="12.8" hidden="false" customHeight="false" outlineLevel="0" collapsed="false">
      <c r="A81" s="89" t="s">
        <v>552</v>
      </c>
      <c r="B81" s="85" t="s">
        <v>343</v>
      </c>
      <c r="C81" s="85" t="s">
        <v>553</v>
      </c>
      <c r="D81" s="85" t="s">
        <v>554</v>
      </c>
      <c r="E81" s="85" t="s">
        <v>555</v>
      </c>
      <c r="F81" s="85" t="s">
        <v>556</v>
      </c>
      <c r="G81" s="85" t="s">
        <v>557</v>
      </c>
      <c r="H81" s="85" t="s">
        <v>558</v>
      </c>
      <c r="I81" s="85" t="s">
        <v>559</v>
      </c>
      <c r="J81" s="85" t="s">
        <v>560</v>
      </c>
      <c r="K81" s="85" t="s">
        <v>561</v>
      </c>
      <c r="L81" s="85" t="s">
        <v>562</v>
      </c>
      <c r="M81" s="85" t="s">
        <v>563</v>
      </c>
      <c r="N81" s="85" t="s">
        <v>564</v>
      </c>
      <c r="O81" s="85"/>
      <c r="P81" s="85"/>
    </row>
    <row r="82" customFormat="false" ht="12.8" hidden="false" customHeight="false" outlineLevel="0" collapsed="false">
      <c r="A82" s="89"/>
      <c r="B82" s="85" t="e">
        <f aca="false">VLOOKUP($A82,BD_SET,2,0)</f>
        <v>#N/A</v>
      </c>
      <c r="C82" s="89" t="e">
        <f aca="false">VLOOKUP($A82,BD_SET,3,0)</f>
        <v>#N/A</v>
      </c>
      <c r="D82" s="89" t="e">
        <f aca="false">VLOOKUP($A82,BD_SET,4,0)</f>
        <v>#N/A</v>
      </c>
      <c r="E82" s="89" t="e">
        <f aca="false">VLOOKUP($A82,BD_SET,5,0)</f>
        <v>#N/A</v>
      </c>
      <c r="F82" s="103" t="e">
        <f aca="false">VLOOKUP($A82,BD_SET,6,0)</f>
        <v>#N/A</v>
      </c>
      <c r="G82" s="103" t="e">
        <f aca="false">VLOOKUP($A82,BD_SET,7,0)</f>
        <v>#N/A</v>
      </c>
      <c r="H82" s="103" t="e">
        <f aca="false">VLOOKUP($A82,BD_SET,8,0)</f>
        <v>#N/A</v>
      </c>
      <c r="I82" s="103" t="e">
        <f aca="false">VLOOKUP($A82,BD_SET,9,0)</f>
        <v>#N/A</v>
      </c>
      <c r="J82" s="103" t="e">
        <f aca="false">VLOOKUP($A82,BD_SET,10,0)</f>
        <v>#N/A</v>
      </c>
      <c r="K82" s="103" t="e">
        <f aca="false">VLOOKUP($A82,BD_SET,11,0)</f>
        <v>#N/A</v>
      </c>
      <c r="L82" s="103" t="e">
        <f aca="false">VLOOKUP($A82,BD_SET,12,0)</f>
        <v>#N/A</v>
      </c>
      <c r="M82" s="103" t="e">
        <f aca="false">VLOOKUP($A82,BD_SET,13,0)</f>
        <v>#N/A</v>
      </c>
      <c r="N82" s="103" t="e">
        <f aca="false">VLOOKUP($A82,BD_SET,14,0)</f>
        <v>#N/A</v>
      </c>
      <c r="O82" s="103"/>
      <c r="P82" s="103"/>
    </row>
    <row r="83" customFormat="false" ht="12.8" hidden="false" customHeight="false" outlineLevel="0" collapsed="false">
      <c r="A83" s="89"/>
      <c r="B83" s="85" t="e">
        <f aca="false">VLOOKUP($A83,BD_SET,2,0)</f>
        <v>#N/A</v>
      </c>
      <c r="C83" s="89" t="e">
        <f aca="false">VLOOKUP($A83,BD_SET,3,0)</f>
        <v>#N/A</v>
      </c>
      <c r="D83" s="89" t="e">
        <f aca="false">VLOOKUP($A83,BD_SET,4,0)</f>
        <v>#N/A</v>
      </c>
      <c r="E83" s="89" t="e">
        <f aca="false">VLOOKUP($A83,BD_SET,5,0)</f>
        <v>#N/A</v>
      </c>
      <c r="F83" s="103" t="e">
        <f aca="false">VLOOKUP($A83,BD_SET,6,0)</f>
        <v>#N/A</v>
      </c>
      <c r="G83" s="103" t="e">
        <f aca="false">VLOOKUP($A83,BD_SET,7,0)</f>
        <v>#N/A</v>
      </c>
      <c r="H83" s="103" t="e">
        <f aca="false">VLOOKUP($A83,BD_SET,8,0)</f>
        <v>#N/A</v>
      </c>
      <c r="I83" s="103" t="e">
        <f aca="false">VLOOKUP($A83,BD_SET,9,0)</f>
        <v>#N/A</v>
      </c>
      <c r="J83" s="103" t="e">
        <f aca="false">VLOOKUP($A83,BD_SET,10,0)</f>
        <v>#N/A</v>
      </c>
      <c r="K83" s="103" t="e">
        <f aca="false">VLOOKUP($A83,BD_SET,11,0)</f>
        <v>#N/A</v>
      </c>
      <c r="L83" s="103" t="e">
        <f aca="false">VLOOKUP($A83,BD_SET,12,0)</f>
        <v>#N/A</v>
      </c>
      <c r="M83" s="103" t="e">
        <f aca="false">VLOOKUP($A83,BD_SET,13,0)</f>
        <v>#N/A</v>
      </c>
      <c r="N83" s="103" t="e">
        <f aca="false">VLOOKUP($A83,BD_SET,14,0)</f>
        <v>#N/A</v>
      </c>
      <c r="O83" s="103"/>
      <c r="P83" s="103"/>
    </row>
    <row r="84" customFormat="false" ht="12.8" hidden="false" customHeight="false" outlineLevel="0" collapsed="false">
      <c r="A84" s="89"/>
      <c r="B84" s="85" t="e">
        <f aca="false">VLOOKUP($A84,BD_SET,2,0)</f>
        <v>#N/A</v>
      </c>
      <c r="C84" s="89" t="e">
        <f aca="false">VLOOKUP($A84,BD_SET,3,0)</f>
        <v>#N/A</v>
      </c>
      <c r="D84" s="89" t="e">
        <f aca="false">VLOOKUP($A84,BD_SET,4,0)</f>
        <v>#N/A</v>
      </c>
      <c r="E84" s="89" t="e">
        <f aca="false">VLOOKUP($A84,BD_SET,5,0)</f>
        <v>#N/A</v>
      </c>
      <c r="F84" s="103" t="e">
        <f aca="false">VLOOKUP($A84,BD_SET,6,0)</f>
        <v>#N/A</v>
      </c>
      <c r="G84" s="103" t="e">
        <f aca="false">VLOOKUP($A84,BD_SET,7,0)</f>
        <v>#N/A</v>
      </c>
      <c r="H84" s="103" t="e">
        <f aca="false">VLOOKUP($A84,BD_SET,8,0)</f>
        <v>#N/A</v>
      </c>
      <c r="I84" s="103" t="e">
        <f aca="false">VLOOKUP($A84,BD_SET,9,0)</f>
        <v>#N/A</v>
      </c>
      <c r="J84" s="103" t="e">
        <f aca="false">VLOOKUP($A84,BD_SET,10,0)</f>
        <v>#N/A</v>
      </c>
      <c r="K84" s="103" t="e">
        <f aca="false">VLOOKUP($A84,BD_SET,11,0)</f>
        <v>#N/A</v>
      </c>
      <c r="L84" s="103" t="e">
        <f aca="false">VLOOKUP($A84,BD_SET,12,0)</f>
        <v>#N/A</v>
      </c>
      <c r="M84" s="103" t="e">
        <f aca="false">VLOOKUP($A84,BD_SET,13,0)</f>
        <v>#N/A</v>
      </c>
      <c r="N84" s="103" t="e">
        <f aca="false">VLOOKUP($A84,BD_SET,14,0)</f>
        <v>#N/A</v>
      </c>
      <c r="O84" s="103"/>
      <c r="P84" s="103"/>
    </row>
    <row r="85" customFormat="false" ht="12.8" hidden="false" customHeight="false" outlineLevel="0" collapsed="false">
      <c r="A85" s="89"/>
      <c r="B85" s="85" t="e">
        <f aca="false">VLOOKUP($A85,BD_SET,2,0)</f>
        <v>#N/A</v>
      </c>
      <c r="C85" s="89" t="e">
        <f aca="false">VLOOKUP($A85,BD_SET,3,0)</f>
        <v>#N/A</v>
      </c>
      <c r="D85" s="89" t="e">
        <f aca="false">VLOOKUP($A85,BD_SET,4,0)</f>
        <v>#N/A</v>
      </c>
      <c r="E85" s="89" t="e">
        <f aca="false">VLOOKUP($A85,BD_SET,5,0)</f>
        <v>#N/A</v>
      </c>
      <c r="F85" s="103" t="e">
        <f aca="false">VLOOKUP($A85,BD_SET,6,0)</f>
        <v>#N/A</v>
      </c>
      <c r="G85" s="103" t="e">
        <f aca="false">VLOOKUP($A85,BD_SET,7,0)</f>
        <v>#N/A</v>
      </c>
      <c r="H85" s="103" t="e">
        <f aca="false">VLOOKUP($A85,BD_SET,8,0)</f>
        <v>#N/A</v>
      </c>
      <c r="I85" s="103" t="e">
        <f aca="false">VLOOKUP($A85,BD_SET,9,0)</f>
        <v>#N/A</v>
      </c>
      <c r="J85" s="103" t="e">
        <f aca="false">VLOOKUP($A85,BD_SET,10,0)</f>
        <v>#N/A</v>
      </c>
      <c r="K85" s="103" t="e">
        <f aca="false">VLOOKUP($A85,BD_SET,11,0)</f>
        <v>#N/A</v>
      </c>
      <c r="L85" s="103" t="e">
        <f aca="false">VLOOKUP($A85,BD_SET,12,0)</f>
        <v>#N/A</v>
      </c>
      <c r="M85" s="103" t="e">
        <f aca="false">VLOOKUP($A85,BD_SET,13,0)</f>
        <v>#N/A</v>
      </c>
      <c r="N85" s="103" t="e">
        <f aca="false">VLOOKUP($A85,BD_SET,14,0)</f>
        <v>#N/A</v>
      </c>
      <c r="O85" s="103"/>
      <c r="P85" s="103"/>
    </row>
    <row r="86" customFormat="false" ht="12.8" hidden="false" customHeight="false" outlineLevel="0" collapsed="false">
      <c r="F86" s="104" t="e">
        <f aca="false">SUM(F82:F85)</f>
        <v>#N/A</v>
      </c>
      <c r="G86" s="104" t="e">
        <f aca="false">SUM(G82:G85)</f>
        <v>#N/A</v>
      </c>
      <c r="H86" s="104" t="e">
        <f aca="false">SUM(H82:H85)</f>
        <v>#N/A</v>
      </c>
      <c r="I86" s="104" t="e">
        <f aca="false">SUM(I82:I85)</f>
        <v>#N/A</v>
      </c>
      <c r="J86" s="104" t="e">
        <f aca="false">SUM(J82:J85)</f>
        <v>#N/A</v>
      </c>
      <c r="K86" s="104" t="e">
        <f aca="false">SUM(K82:K85)</f>
        <v>#N/A</v>
      </c>
      <c r="L86" s="104" t="e">
        <f aca="false">SUM(L82:L85)</f>
        <v>#N/A</v>
      </c>
      <c r="M86" s="104" t="e">
        <f aca="false">SUM(M82:M85)</f>
        <v>#N/A</v>
      </c>
      <c r="N86" s="104" t="e">
        <f aca="false">SUM(N82:N85)</f>
        <v>#N/A</v>
      </c>
      <c r="O86" s="104"/>
      <c r="P86" s="104"/>
    </row>
    <row r="88" customFormat="false" ht="12.8" hidden="false" customHeight="false" outlineLevel="0" collapsed="false">
      <c r="A88" s="89" t="s">
        <v>552</v>
      </c>
      <c r="B88" s="85" t="s">
        <v>343</v>
      </c>
      <c r="C88" s="85" t="s">
        <v>553</v>
      </c>
      <c r="D88" s="85" t="s">
        <v>554</v>
      </c>
      <c r="E88" s="85" t="s">
        <v>555</v>
      </c>
      <c r="F88" s="85" t="s">
        <v>556</v>
      </c>
      <c r="G88" s="85" t="s">
        <v>557</v>
      </c>
      <c r="H88" s="85" t="s">
        <v>558</v>
      </c>
      <c r="I88" s="85" t="s">
        <v>559</v>
      </c>
      <c r="J88" s="85" t="s">
        <v>560</v>
      </c>
      <c r="K88" s="85" t="s">
        <v>561</v>
      </c>
      <c r="L88" s="85" t="s">
        <v>562</v>
      </c>
      <c r="M88" s="85" t="s">
        <v>563</v>
      </c>
      <c r="N88" s="85" t="s">
        <v>564</v>
      </c>
      <c r="O88" s="85"/>
      <c r="P88" s="85"/>
    </row>
    <row r="89" customFormat="false" ht="12.8" hidden="false" customHeight="false" outlineLevel="0" collapsed="false">
      <c r="A89" s="89"/>
      <c r="B89" s="85" t="e">
        <f aca="false">VLOOKUP($A89,BD_SET,2,0)</f>
        <v>#N/A</v>
      </c>
      <c r="C89" s="89" t="e">
        <f aca="false">VLOOKUP($A89,BD_SET,3,0)</f>
        <v>#N/A</v>
      </c>
      <c r="D89" s="89" t="e">
        <f aca="false">VLOOKUP($A89,BD_SET,4,0)</f>
        <v>#N/A</v>
      </c>
      <c r="E89" s="89" t="e">
        <f aca="false">VLOOKUP($A89,BD_SET,5,0)</f>
        <v>#N/A</v>
      </c>
      <c r="F89" s="103" t="e">
        <f aca="false">VLOOKUP($A89,BD_SET,6,0)</f>
        <v>#N/A</v>
      </c>
      <c r="G89" s="103" t="e">
        <f aca="false">VLOOKUP($A89,BD_SET,7,0)</f>
        <v>#N/A</v>
      </c>
      <c r="H89" s="103" t="e">
        <f aca="false">VLOOKUP($A89,BD_SET,8,0)</f>
        <v>#N/A</v>
      </c>
      <c r="I89" s="103" t="e">
        <f aca="false">VLOOKUP($A89,BD_SET,9,0)</f>
        <v>#N/A</v>
      </c>
      <c r="J89" s="103" t="e">
        <f aca="false">VLOOKUP($A89,BD_SET,10,0)</f>
        <v>#N/A</v>
      </c>
      <c r="K89" s="103" t="e">
        <f aca="false">VLOOKUP($A89,BD_SET,11,0)</f>
        <v>#N/A</v>
      </c>
      <c r="L89" s="103" t="e">
        <f aca="false">VLOOKUP($A89,BD_SET,12,0)</f>
        <v>#N/A</v>
      </c>
      <c r="M89" s="103" t="e">
        <f aca="false">VLOOKUP($A89,BD_SET,13,0)</f>
        <v>#N/A</v>
      </c>
      <c r="N89" s="103" t="e">
        <f aca="false">VLOOKUP($A89,BD_SET,14,0)</f>
        <v>#N/A</v>
      </c>
      <c r="O89" s="103"/>
      <c r="P89" s="103"/>
    </row>
    <row r="90" customFormat="false" ht="12.8" hidden="false" customHeight="false" outlineLevel="0" collapsed="false">
      <c r="A90" s="89"/>
      <c r="B90" s="85" t="e">
        <f aca="false">VLOOKUP($A90,BD_SET,2,0)</f>
        <v>#N/A</v>
      </c>
      <c r="C90" s="89" t="e">
        <f aca="false">VLOOKUP($A90,BD_SET,3,0)</f>
        <v>#N/A</v>
      </c>
      <c r="D90" s="89" t="e">
        <f aca="false">VLOOKUP($A90,BD_SET,4,0)</f>
        <v>#N/A</v>
      </c>
      <c r="E90" s="89" t="e">
        <f aca="false">VLOOKUP($A90,BD_SET,5,0)</f>
        <v>#N/A</v>
      </c>
      <c r="F90" s="103" t="e">
        <f aca="false">VLOOKUP($A90,BD_SET,6,0)</f>
        <v>#N/A</v>
      </c>
      <c r="G90" s="103" t="e">
        <f aca="false">VLOOKUP($A90,BD_SET,7,0)</f>
        <v>#N/A</v>
      </c>
      <c r="H90" s="103" t="e">
        <f aca="false">VLOOKUP($A90,BD_SET,8,0)</f>
        <v>#N/A</v>
      </c>
      <c r="I90" s="103" t="e">
        <f aca="false">VLOOKUP($A90,BD_SET,9,0)</f>
        <v>#N/A</v>
      </c>
      <c r="J90" s="103" t="e">
        <f aca="false">VLOOKUP($A90,BD_SET,10,0)</f>
        <v>#N/A</v>
      </c>
      <c r="K90" s="103" t="e">
        <f aca="false">VLOOKUP($A90,BD_SET,11,0)</f>
        <v>#N/A</v>
      </c>
      <c r="L90" s="103" t="e">
        <f aca="false">VLOOKUP($A90,BD_SET,12,0)</f>
        <v>#N/A</v>
      </c>
      <c r="M90" s="103" t="e">
        <f aca="false">VLOOKUP($A90,BD_SET,13,0)</f>
        <v>#N/A</v>
      </c>
      <c r="N90" s="103" t="e">
        <f aca="false">VLOOKUP($A90,BD_SET,14,0)</f>
        <v>#N/A</v>
      </c>
      <c r="O90" s="103"/>
      <c r="P90" s="103"/>
    </row>
    <row r="91" customFormat="false" ht="12.8" hidden="false" customHeight="false" outlineLevel="0" collapsed="false">
      <c r="A91" s="89"/>
      <c r="B91" s="85" t="e">
        <f aca="false">VLOOKUP($A91,BD_SET,2,0)</f>
        <v>#N/A</v>
      </c>
      <c r="C91" s="89" t="e">
        <f aca="false">VLOOKUP($A91,BD_SET,3,0)</f>
        <v>#N/A</v>
      </c>
      <c r="D91" s="89" t="e">
        <f aca="false">VLOOKUP($A91,BD_SET,4,0)</f>
        <v>#N/A</v>
      </c>
      <c r="E91" s="89" t="e">
        <f aca="false">VLOOKUP($A91,BD_SET,5,0)</f>
        <v>#N/A</v>
      </c>
      <c r="F91" s="103" t="e">
        <f aca="false">VLOOKUP($A91,BD_SET,6,0)</f>
        <v>#N/A</v>
      </c>
      <c r="G91" s="103" t="e">
        <f aca="false">VLOOKUP($A91,BD_SET,7,0)</f>
        <v>#N/A</v>
      </c>
      <c r="H91" s="103" t="e">
        <f aca="false">VLOOKUP($A91,BD_SET,8,0)</f>
        <v>#N/A</v>
      </c>
      <c r="I91" s="103" t="e">
        <f aca="false">VLOOKUP($A91,BD_SET,9,0)</f>
        <v>#N/A</v>
      </c>
      <c r="J91" s="103" t="e">
        <f aca="false">VLOOKUP($A91,BD_SET,10,0)</f>
        <v>#N/A</v>
      </c>
      <c r="K91" s="103" t="e">
        <f aca="false">VLOOKUP($A91,BD_SET,11,0)</f>
        <v>#N/A</v>
      </c>
      <c r="L91" s="103" t="e">
        <f aca="false">VLOOKUP($A91,BD_SET,12,0)</f>
        <v>#N/A</v>
      </c>
      <c r="M91" s="103" t="e">
        <f aca="false">VLOOKUP($A91,BD_SET,13,0)</f>
        <v>#N/A</v>
      </c>
      <c r="N91" s="103" t="e">
        <f aca="false">VLOOKUP($A91,BD_SET,14,0)</f>
        <v>#N/A</v>
      </c>
      <c r="O91" s="103"/>
      <c r="P91" s="103"/>
    </row>
    <row r="92" customFormat="false" ht="12.8" hidden="false" customHeight="false" outlineLevel="0" collapsed="false">
      <c r="A92" s="89"/>
      <c r="B92" s="85" t="e">
        <f aca="false">VLOOKUP($A92,BD_SET,2,0)</f>
        <v>#N/A</v>
      </c>
      <c r="C92" s="89" t="e">
        <f aca="false">VLOOKUP($A92,BD_SET,3,0)</f>
        <v>#N/A</v>
      </c>
      <c r="D92" s="89" t="e">
        <f aca="false">VLOOKUP($A92,BD_SET,4,0)</f>
        <v>#N/A</v>
      </c>
      <c r="E92" s="89" t="e">
        <f aca="false">VLOOKUP($A92,BD_SET,5,0)</f>
        <v>#N/A</v>
      </c>
      <c r="F92" s="103" t="e">
        <f aca="false">VLOOKUP($A92,BD_SET,6,0)</f>
        <v>#N/A</v>
      </c>
      <c r="G92" s="103" t="e">
        <f aca="false">VLOOKUP($A92,BD_SET,7,0)</f>
        <v>#N/A</v>
      </c>
      <c r="H92" s="103" t="e">
        <f aca="false">VLOOKUP($A92,BD_SET,8,0)</f>
        <v>#N/A</v>
      </c>
      <c r="I92" s="103" t="e">
        <f aca="false">VLOOKUP($A92,BD_SET,9,0)</f>
        <v>#N/A</v>
      </c>
      <c r="J92" s="103" t="e">
        <f aca="false">VLOOKUP($A92,BD_SET,10,0)</f>
        <v>#N/A</v>
      </c>
      <c r="K92" s="103" t="e">
        <f aca="false">VLOOKUP($A92,BD_SET,11,0)</f>
        <v>#N/A</v>
      </c>
      <c r="L92" s="103" t="e">
        <f aca="false">VLOOKUP($A92,BD_SET,12,0)</f>
        <v>#N/A</v>
      </c>
      <c r="M92" s="103" t="e">
        <f aca="false">VLOOKUP($A92,BD_SET,13,0)</f>
        <v>#N/A</v>
      </c>
      <c r="N92" s="103" t="e">
        <f aca="false">VLOOKUP($A92,BD_SET,14,0)</f>
        <v>#N/A</v>
      </c>
      <c r="O92" s="103"/>
      <c r="P92" s="103"/>
    </row>
    <row r="93" customFormat="false" ht="12.8" hidden="false" customHeight="false" outlineLevel="0" collapsed="false">
      <c r="F93" s="104" t="e">
        <f aca="false">SUM(F89:F92)</f>
        <v>#N/A</v>
      </c>
      <c r="G93" s="104" t="e">
        <f aca="false">SUM(G89:G92)</f>
        <v>#N/A</v>
      </c>
      <c r="H93" s="104" t="e">
        <f aca="false">SUM(H89:H92)</f>
        <v>#N/A</v>
      </c>
      <c r="I93" s="104" t="e">
        <f aca="false">SUM(I89:I92)</f>
        <v>#N/A</v>
      </c>
      <c r="J93" s="104" t="e">
        <f aca="false">SUM(J89:J92)</f>
        <v>#N/A</v>
      </c>
      <c r="K93" s="104" t="e">
        <f aca="false">SUM(K89:K92)</f>
        <v>#N/A</v>
      </c>
      <c r="L93" s="104" t="e">
        <f aca="false">SUM(L89:L92)</f>
        <v>#N/A</v>
      </c>
      <c r="M93" s="104" t="e">
        <f aca="false">SUM(M89:M92)</f>
        <v>#N/A</v>
      </c>
      <c r="N93" s="104" t="e">
        <f aca="false">SUM(N89:N92)</f>
        <v>#N/A</v>
      </c>
      <c r="O93" s="104"/>
      <c r="P93" s="104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C20" activeCellId="1" sqref="L46:O46 C20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1" width="41.07"/>
    <col collapsed="false" customWidth="true" hidden="false" outlineLevel="0" max="3" min="3" style="1" width="8.97"/>
    <col collapsed="false" customWidth="true" hidden="false" outlineLevel="0" max="4" min="4" style="1" width="7.95"/>
  </cols>
  <sheetData>
    <row r="1" customFormat="false" ht="12.8" hidden="false" customHeight="false" outlineLevel="0" collapsed="false">
      <c r="A1" s="94" t="s">
        <v>626</v>
      </c>
      <c r="B1" s="85" t="s">
        <v>175</v>
      </c>
      <c r="C1" s="85" t="s">
        <v>627</v>
      </c>
      <c r="D1" s="85" t="s">
        <v>628</v>
      </c>
    </row>
    <row r="2" customFormat="false" ht="12.85" hidden="false" customHeight="false" outlineLevel="0" collapsed="false">
      <c r="A2" s="1" t="n">
        <v>1</v>
      </c>
      <c r="B2" s="108" t="s">
        <v>629</v>
      </c>
      <c r="C2" s="87"/>
      <c r="D2" s="87"/>
    </row>
    <row r="3" customFormat="false" ht="12.85" hidden="false" customHeight="false" outlineLevel="0" collapsed="false">
      <c r="A3" s="1" t="n">
        <v>2</v>
      </c>
      <c r="B3" s="108" t="s">
        <v>630</v>
      </c>
      <c r="C3" s="87" t="s">
        <v>379</v>
      </c>
      <c r="D3" s="87"/>
    </row>
    <row r="4" customFormat="false" ht="12.85" hidden="false" customHeight="false" outlineLevel="0" collapsed="false">
      <c r="A4" s="1" t="n">
        <v>3</v>
      </c>
      <c r="B4" s="108" t="s">
        <v>631</v>
      </c>
      <c r="C4" s="87"/>
      <c r="D4" s="87"/>
    </row>
    <row r="5" customFormat="false" ht="12.85" hidden="false" customHeight="false" outlineLevel="0" collapsed="false">
      <c r="A5" s="1" t="n">
        <v>4</v>
      </c>
      <c r="B5" s="108" t="s">
        <v>632</v>
      </c>
      <c r="C5" s="87"/>
      <c r="D5" s="87"/>
    </row>
    <row r="6" customFormat="false" ht="12.85" hidden="false" customHeight="false" outlineLevel="0" collapsed="false">
      <c r="A6" s="1" t="n">
        <v>5</v>
      </c>
      <c r="B6" s="108" t="s">
        <v>633</v>
      </c>
      <c r="C6" s="87"/>
      <c r="D6" s="87"/>
    </row>
    <row r="7" customFormat="false" ht="12.85" hidden="false" customHeight="false" outlineLevel="0" collapsed="false">
      <c r="A7" s="1" t="n">
        <v>6</v>
      </c>
      <c r="B7" s="108" t="s">
        <v>634</v>
      </c>
      <c r="C7" s="87" t="s">
        <v>379</v>
      </c>
      <c r="D7" s="87"/>
    </row>
    <row r="8" customFormat="false" ht="12.85" hidden="false" customHeight="false" outlineLevel="0" collapsed="false">
      <c r="A8" s="1" t="n">
        <v>7</v>
      </c>
      <c r="B8" s="108" t="s">
        <v>635</v>
      </c>
      <c r="C8" s="87" t="s">
        <v>379</v>
      </c>
      <c r="D8" s="87"/>
    </row>
    <row r="9" customFormat="false" ht="12.85" hidden="false" customHeight="false" outlineLevel="0" collapsed="false">
      <c r="A9" s="1" t="n">
        <v>8</v>
      </c>
      <c r="B9" s="108" t="s">
        <v>636</v>
      </c>
      <c r="C9" s="87"/>
      <c r="D9" s="87"/>
    </row>
    <row r="10" customFormat="false" ht="12.85" hidden="false" customHeight="false" outlineLevel="0" collapsed="false">
      <c r="A10" s="1" t="n">
        <v>9</v>
      </c>
      <c r="B10" s="108" t="s">
        <v>637</v>
      </c>
      <c r="C10" s="87"/>
      <c r="D10" s="87"/>
    </row>
    <row r="11" customFormat="false" ht="12.85" hidden="false" customHeight="false" outlineLevel="0" collapsed="false">
      <c r="A11" s="1" t="n">
        <v>10</v>
      </c>
      <c r="B11" s="108" t="s">
        <v>638</v>
      </c>
      <c r="C11" s="87"/>
      <c r="D11" s="87"/>
    </row>
    <row r="12" customFormat="false" ht="12.85" hidden="false" customHeight="false" outlineLevel="0" collapsed="false">
      <c r="A12" s="1" t="n">
        <v>11</v>
      </c>
      <c r="B12" s="108" t="s">
        <v>639</v>
      </c>
      <c r="C12" s="87" t="s">
        <v>379</v>
      </c>
      <c r="D12" s="87"/>
    </row>
    <row r="13" customFormat="false" ht="12.85" hidden="false" customHeight="false" outlineLevel="0" collapsed="false">
      <c r="A13" s="1" t="n">
        <v>12</v>
      </c>
      <c r="B13" s="108" t="s">
        <v>640</v>
      </c>
      <c r="C13" s="87"/>
      <c r="D13" s="87"/>
    </row>
    <row r="14" customFormat="false" ht="12.85" hidden="false" customHeight="false" outlineLevel="0" collapsed="false">
      <c r="A14" s="1" t="n">
        <v>13</v>
      </c>
      <c r="B14" s="108" t="s">
        <v>641</v>
      </c>
      <c r="C14" s="87"/>
      <c r="D14" s="87"/>
    </row>
    <row r="15" customFormat="false" ht="12.85" hidden="false" customHeight="false" outlineLevel="0" collapsed="false">
      <c r="A15" s="1" t="n">
        <v>14</v>
      </c>
      <c r="B15" s="108" t="s">
        <v>642</v>
      </c>
      <c r="C15" s="87"/>
      <c r="D15" s="87"/>
    </row>
    <row r="16" customFormat="false" ht="12.85" hidden="false" customHeight="false" outlineLevel="0" collapsed="false">
      <c r="A16" s="1" t="n">
        <v>15</v>
      </c>
      <c r="B16" s="108" t="s">
        <v>643</v>
      </c>
      <c r="C16" s="87" t="s">
        <v>379</v>
      </c>
      <c r="D16" s="87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L23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1" sqref="L46:O46 A1"/>
    </sheetView>
  </sheetViews>
  <sheetFormatPr defaultColWidth="11.6875" defaultRowHeight="12.8" zeroHeight="false" outlineLevelRow="0" outlineLevelCol="0"/>
  <cols>
    <col collapsed="false" customWidth="true" hidden="false" outlineLevel="0" max="2" min="2" style="1" width="3.54"/>
    <col collapsed="false" customWidth="true" hidden="false" outlineLevel="0" max="3" min="3" style="1" width="18.44"/>
    <col collapsed="false" customWidth="true" hidden="false" outlineLevel="0" max="4" min="4" style="1" width="7.57"/>
    <col collapsed="false" customWidth="true" hidden="false" outlineLevel="0" max="5" min="5" style="1" width="8.72"/>
    <col collapsed="false" customWidth="true" hidden="false" outlineLevel="0" max="6" min="6" style="1" width="6.7"/>
    <col collapsed="false" customWidth="true" hidden="false" outlineLevel="0" max="7" min="7" style="1" width="8.72"/>
    <col collapsed="false" customWidth="true" hidden="false" outlineLevel="0" max="8" min="8" style="1" width="5.93"/>
    <col collapsed="false" customWidth="true" hidden="false" outlineLevel="0" max="9" min="9" style="1" width="26.66"/>
    <col collapsed="false" customWidth="true" hidden="false" outlineLevel="0" max="10" min="10" style="1" width="23.12"/>
    <col collapsed="false" customWidth="true" hidden="false" outlineLevel="0" max="11" min="11" style="1" width="21.97"/>
    <col collapsed="false" customWidth="true" hidden="false" outlineLevel="0" max="12" min="12" style="1" width="23.5"/>
    <col collapsed="false" customWidth="true" hidden="false" outlineLevel="0" max="1024" min="1017" style="1" width="11.52"/>
  </cols>
  <sheetData>
    <row r="3" customFormat="false" ht="12.8" hidden="false" customHeight="false" outlineLevel="0" collapsed="false">
      <c r="C3" s="85" t="s">
        <v>578</v>
      </c>
      <c r="D3" s="85" t="s">
        <v>1</v>
      </c>
      <c r="E3" s="85" t="s">
        <v>107</v>
      </c>
      <c r="F3" s="85" t="s">
        <v>4</v>
      </c>
      <c r="G3" s="109" t="s">
        <v>644</v>
      </c>
      <c r="H3" s="94" t="s">
        <v>645</v>
      </c>
      <c r="I3" s="94" t="s">
        <v>646</v>
      </c>
      <c r="J3" s="94" t="s">
        <v>647</v>
      </c>
      <c r="K3" s="94" t="s">
        <v>648</v>
      </c>
      <c r="L3" s="94" t="s">
        <v>649</v>
      </c>
    </row>
    <row r="4" customFormat="false" ht="12.8" hidden="false" customHeight="false" outlineLevel="0" collapsed="false">
      <c r="B4" s="1" t="n">
        <v>1</v>
      </c>
      <c r="C4" s="89" t="s">
        <v>650</v>
      </c>
      <c r="D4" s="90" t="s">
        <v>379</v>
      </c>
      <c r="E4" s="90" t="s">
        <v>379</v>
      </c>
      <c r="F4" s="90" t="s">
        <v>379</v>
      </c>
      <c r="G4" s="110"/>
    </row>
    <row r="5" customFormat="false" ht="12.8" hidden="false" customHeight="false" outlineLevel="0" collapsed="false">
      <c r="B5" s="1" t="n">
        <v>2</v>
      </c>
      <c r="C5" s="89" t="s">
        <v>651</v>
      </c>
      <c r="D5" s="90" t="s">
        <v>379</v>
      </c>
      <c r="E5" s="90" t="s">
        <v>379</v>
      </c>
      <c r="F5" s="90" t="s">
        <v>379</v>
      </c>
      <c r="G5" s="110"/>
    </row>
    <row r="6" customFormat="false" ht="12.8" hidden="false" customHeight="false" outlineLevel="0" collapsed="false">
      <c r="B6" s="1" t="n">
        <v>3</v>
      </c>
      <c r="C6" s="89" t="s">
        <v>652</v>
      </c>
      <c r="D6" s="90" t="s">
        <v>379</v>
      </c>
      <c r="E6" s="90" t="s">
        <v>379</v>
      </c>
      <c r="F6" s="90" t="s">
        <v>379</v>
      </c>
      <c r="G6" s="110"/>
    </row>
    <row r="7" customFormat="false" ht="12.8" hidden="false" customHeight="false" outlineLevel="0" collapsed="false">
      <c r="B7" s="1" t="n">
        <v>4</v>
      </c>
      <c r="C7" s="89" t="s">
        <v>653</v>
      </c>
      <c r="D7" s="90" t="s">
        <v>379</v>
      </c>
      <c r="E7" s="90" t="s">
        <v>379</v>
      </c>
      <c r="F7" s="90" t="s">
        <v>379</v>
      </c>
      <c r="G7" s="110"/>
    </row>
    <row r="8" customFormat="false" ht="12.8" hidden="false" customHeight="false" outlineLevel="0" collapsed="false">
      <c r="B8" s="1" t="n">
        <v>5</v>
      </c>
      <c r="C8" s="89" t="s">
        <v>654</v>
      </c>
      <c r="D8" s="90" t="s">
        <v>379</v>
      </c>
      <c r="E8" s="90" t="s">
        <v>379</v>
      </c>
      <c r="F8" s="90" t="s">
        <v>379</v>
      </c>
      <c r="G8" s="110"/>
    </row>
    <row r="9" customFormat="false" ht="12.8" hidden="false" customHeight="false" outlineLevel="0" collapsed="false">
      <c r="B9" s="1" t="n">
        <v>6</v>
      </c>
      <c r="C9" s="89" t="s">
        <v>655</v>
      </c>
      <c r="D9" s="90" t="s">
        <v>379</v>
      </c>
      <c r="E9" s="90" t="s">
        <v>379</v>
      </c>
      <c r="F9" s="90" t="s">
        <v>379</v>
      </c>
      <c r="G9" s="110"/>
    </row>
    <row r="10" customFormat="false" ht="12.8" hidden="false" customHeight="false" outlineLevel="0" collapsed="false">
      <c r="B10" s="1" t="n">
        <v>7</v>
      </c>
      <c r="C10" s="89" t="s">
        <v>656</v>
      </c>
      <c r="D10" s="90" t="s">
        <v>379</v>
      </c>
      <c r="E10" s="90" t="s">
        <v>379</v>
      </c>
      <c r="F10" s="90" t="s">
        <v>379</v>
      </c>
      <c r="G10" s="110"/>
    </row>
    <row r="11" customFormat="false" ht="12.8" hidden="false" customHeight="false" outlineLevel="0" collapsed="false">
      <c r="B11" s="1" t="n">
        <v>8</v>
      </c>
      <c r="C11" s="89" t="s">
        <v>657</v>
      </c>
      <c r="D11" s="90" t="s">
        <v>379</v>
      </c>
      <c r="E11" s="90" t="s">
        <v>379</v>
      </c>
      <c r="F11" s="90" t="s">
        <v>379</v>
      </c>
      <c r="G11" s="110"/>
    </row>
    <row r="12" customFormat="false" ht="12.8" hidden="false" customHeight="false" outlineLevel="0" collapsed="false">
      <c r="B12" s="1" t="n">
        <v>9</v>
      </c>
      <c r="C12" s="89" t="s">
        <v>658</v>
      </c>
      <c r="D12" s="90" t="s">
        <v>379</v>
      </c>
      <c r="E12" s="90" t="s">
        <v>379</v>
      </c>
      <c r="F12" s="90" t="s">
        <v>379</v>
      </c>
      <c r="G12" s="110"/>
    </row>
    <row r="13" customFormat="false" ht="12.8" hidden="false" customHeight="false" outlineLevel="0" collapsed="false">
      <c r="B13" s="1" t="n">
        <v>10</v>
      </c>
      <c r="C13" s="89" t="s">
        <v>659</v>
      </c>
      <c r="D13" s="90" t="s">
        <v>379</v>
      </c>
      <c r="E13" s="90" t="s">
        <v>379</v>
      </c>
      <c r="F13" s="90" t="s">
        <v>379</v>
      </c>
      <c r="G13" s="110" t="n">
        <v>478.4</v>
      </c>
      <c r="H13" s="1" t="n">
        <v>49</v>
      </c>
      <c r="I13" s="1" t="s">
        <v>660</v>
      </c>
      <c r="J13" s="1" t="s">
        <v>661</v>
      </c>
      <c r="K13" s="1" t="s">
        <v>662</v>
      </c>
      <c r="L13" s="1" t="s">
        <v>663</v>
      </c>
    </row>
    <row r="14" customFormat="false" ht="12.8" hidden="false" customHeight="false" outlineLevel="0" collapsed="false">
      <c r="B14" s="1" t="n">
        <v>11</v>
      </c>
      <c r="C14" s="89" t="s">
        <v>664</v>
      </c>
      <c r="D14" s="90" t="s">
        <v>379</v>
      </c>
      <c r="E14" s="90" t="s">
        <v>379</v>
      </c>
      <c r="F14" s="90" t="s">
        <v>379</v>
      </c>
      <c r="G14" s="110"/>
    </row>
    <row r="15" customFormat="false" ht="12.8" hidden="false" customHeight="false" outlineLevel="0" collapsed="false">
      <c r="B15" s="1" t="n">
        <v>12</v>
      </c>
      <c r="C15" s="89" t="s">
        <v>665</v>
      </c>
      <c r="D15" s="90" t="s">
        <v>379</v>
      </c>
      <c r="E15" s="90" t="s">
        <v>379</v>
      </c>
      <c r="F15" s="90" t="s">
        <v>379</v>
      </c>
      <c r="G15" s="110"/>
    </row>
    <row r="16" customFormat="false" ht="12.8" hidden="false" customHeight="false" outlineLevel="0" collapsed="false">
      <c r="B16" s="1" t="n">
        <v>13</v>
      </c>
      <c r="C16" s="89" t="s">
        <v>666</v>
      </c>
      <c r="D16" s="90" t="s">
        <v>379</v>
      </c>
      <c r="E16" s="90" t="s">
        <v>379</v>
      </c>
      <c r="F16" s="90" t="s">
        <v>379</v>
      </c>
      <c r="G16" s="110"/>
    </row>
    <row r="17" customFormat="false" ht="12.8" hidden="false" customHeight="false" outlineLevel="0" collapsed="false">
      <c r="B17" s="1" t="n">
        <v>14</v>
      </c>
      <c r="C17" s="89" t="s">
        <v>667</v>
      </c>
      <c r="D17" s="90" t="s">
        <v>379</v>
      </c>
      <c r="E17" s="111" t="s">
        <v>379</v>
      </c>
      <c r="F17" s="111" t="s">
        <v>379</v>
      </c>
      <c r="G17" s="110" t="n">
        <v>476.1</v>
      </c>
      <c r="H17" s="1" t="n">
        <v>47</v>
      </c>
      <c r="I17" s="1" t="s">
        <v>668</v>
      </c>
      <c r="J17" s="1" t="s">
        <v>669</v>
      </c>
      <c r="K17" s="1" t="s">
        <v>670</v>
      </c>
      <c r="L17" s="1" t="s">
        <v>671</v>
      </c>
    </row>
    <row r="18" customFormat="false" ht="12.8" hidden="false" customHeight="false" outlineLevel="0" collapsed="false">
      <c r="B18" s="1" t="n">
        <v>15</v>
      </c>
      <c r="C18" s="89" t="s">
        <v>672</v>
      </c>
      <c r="D18" s="90" t="s">
        <v>379</v>
      </c>
      <c r="E18" s="111" t="s">
        <v>379</v>
      </c>
      <c r="F18" s="111" t="s">
        <v>379</v>
      </c>
      <c r="G18" s="110" t="n">
        <v>469.2</v>
      </c>
      <c r="H18" s="1" t="n">
        <v>44</v>
      </c>
      <c r="I18" s="1" t="s">
        <v>668</v>
      </c>
      <c r="J18" s="1" t="s">
        <v>669</v>
      </c>
      <c r="K18" s="1" t="s">
        <v>670</v>
      </c>
      <c r="L18" s="1" t="s">
        <v>671</v>
      </c>
    </row>
    <row r="19" customFormat="false" ht="12.8" hidden="false" customHeight="false" outlineLevel="0" collapsed="false">
      <c r="B19" s="1" t="n">
        <v>16</v>
      </c>
      <c r="C19" s="89" t="s">
        <v>673</v>
      </c>
      <c r="D19" s="90" t="s">
        <v>379</v>
      </c>
      <c r="E19" s="90" t="s">
        <v>379</v>
      </c>
      <c r="F19" s="90" t="s">
        <v>379</v>
      </c>
      <c r="G19" s="110"/>
    </row>
    <row r="20" customFormat="false" ht="12.8" hidden="false" customHeight="false" outlineLevel="0" collapsed="false">
      <c r="B20" s="1" t="n">
        <v>17</v>
      </c>
      <c r="C20" s="89" t="s">
        <v>674</v>
      </c>
      <c r="D20" s="90" t="s">
        <v>379</v>
      </c>
      <c r="E20" s="90" t="s">
        <v>379</v>
      </c>
      <c r="F20" s="90" t="s">
        <v>379</v>
      </c>
      <c r="G20" s="110" t="n">
        <v>508.3</v>
      </c>
      <c r="H20" s="1" t="n">
        <v>64</v>
      </c>
      <c r="I20" s="1" t="s">
        <v>675</v>
      </c>
      <c r="J20" s="1" t="s">
        <v>676</v>
      </c>
      <c r="K20" s="1" t="s">
        <v>677</v>
      </c>
      <c r="L20" s="1" t="s">
        <v>678</v>
      </c>
    </row>
    <row r="21" customFormat="false" ht="12.8" hidden="false" customHeight="false" outlineLevel="0" collapsed="false">
      <c r="B21" s="1" t="n">
        <v>18</v>
      </c>
      <c r="C21" s="89" t="s">
        <v>679</v>
      </c>
      <c r="D21" s="90" t="s">
        <v>379</v>
      </c>
      <c r="E21" s="90" t="s">
        <v>379</v>
      </c>
      <c r="F21" s="90" t="s">
        <v>379</v>
      </c>
      <c r="G21" s="110" t="n">
        <v>506</v>
      </c>
      <c r="H21" s="1" t="n">
        <v>63</v>
      </c>
      <c r="I21" s="1" t="s">
        <v>680</v>
      </c>
      <c r="J21" s="1" t="s">
        <v>681</v>
      </c>
      <c r="K21" s="1" t="s">
        <v>682</v>
      </c>
      <c r="L21" s="1" t="s">
        <v>683</v>
      </c>
    </row>
    <row r="22" customFormat="false" ht="12.8" hidden="false" customHeight="false" outlineLevel="0" collapsed="false">
      <c r="B22" s="1" t="n">
        <v>19</v>
      </c>
      <c r="C22" s="89" t="s">
        <v>684</v>
      </c>
      <c r="D22" s="90" t="s">
        <v>379</v>
      </c>
      <c r="E22" s="90" t="s">
        <v>379</v>
      </c>
      <c r="F22" s="90" t="s">
        <v>379</v>
      </c>
      <c r="G22" s="110" t="n">
        <v>441.6</v>
      </c>
      <c r="H22" s="1" t="n">
        <v>26</v>
      </c>
      <c r="I22" s="1" t="s">
        <v>685</v>
      </c>
      <c r="J22" s="1" t="s">
        <v>686</v>
      </c>
      <c r="K22" s="1" t="s">
        <v>687</v>
      </c>
      <c r="L22" s="1" t="s">
        <v>688</v>
      </c>
    </row>
    <row r="23" customFormat="false" ht="12.8" hidden="false" customHeight="false" outlineLevel="0" collapsed="false">
      <c r="D23" s="88"/>
      <c r="E23" s="88"/>
      <c r="F23" s="88"/>
      <c r="G23" s="110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H1" activeCellId="1" sqref="L46:O46 H1"/>
    </sheetView>
  </sheetViews>
  <sheetFormatPr defaultColWidth="11.5703125" defaultRowHeight="12.8" zeroHeight="false" outlineLevelRow="0" outlineLevelCol="0"/>
  <cols>
    <col collapsed="false" customWidth="true" hidden="false" outlineLevel="0" max="2" min="1" style="1" width="21.82"/>
    <col collapsed="false" customWidth="true" hidden="false" outlineLevel="0" max="3" min="3" style="1" width="9.79"/>
    <col collapsed="false" customWidth="true" hidden="false" outlineLevel="0" max="4" min="4" style="1" width="7.07"/>
    <col collapsed="false" customWidth="true" hidden="false" outlineLevel="0" max="5" min="5" style="88" width="6.21"/>
    <col collapsed="false" customWidth="true" hidden="false" outlineLevel="0" max="6" min="6" style="1" width="35.56"/>
    <col collapsed="false" customWidth="true" hidden="false" outlineLevel="0" max="8" min="8" style="1" width="17.91"/>
  </cols>
  <sheetData>
    <row r="1" customFormat="false" ht="12.8" hidden="false" customHeight="false" outlineLevel="0" collapsed="false">
      <c r="A1" s="85" t="s">
        <v>689</v>
      </c>
      <c r="B1" s="85" t="s">
        <v>690</v>
      </c>
      <c r="C1" s="85" t="s">
        <v>553</v>
      </c>
      <c r="D1" s="85" t="s">
        <v>691</v>
      </c>
      <c r="E1" s="94" t="s">
        <v>317</v>
      </c>
      <c r="F1" s="85" t="s">
        <v>692</v>
      </c>
      <c r="H1" s="94" t="s">
        <v>693</v>
      </c>
    </row>
    <row r="2" customFormat="false" ht="12.8" hidden="false" customHeight="false" outlineLevel="0" collapsed="false">
      <c r="A2" s="86" t="s">
        <v>694</v>
      </c>
      <c r="B2" s="86" t="s">
        <v>694</v>
      </c>
      <c r="C2" s="86" t="s">
        <v>695</v>
      </c>
      <c r="D2" s="86" t="s">
        <v>610</v>
      </c>
      <c r="E2" s="112" t="n">
        <v>0.75</v>
      </c>
      <c r="F2" s="86" t="s">
        <v>696</v>
      </c>
      <c r="H2" s="1" t="s">
        <v>697</v>
      </c>
    </row>
    <row r="3" customFormat="false" ht="12.8" hidden="false" customHeight="false" outlineLevel="0" collapsed="false">
      <c r="A3" s="113" t="s">
        <v>694</v>
      </c>
      <c r="B3" s="113" t="s">
        <v>698</v>
      </c>
      <c r="C3" s="113" t="s">
        <v>695</v>
      </c>
      <c r="D3" s="113" t="s">
        <v>610</v>
      </c>
      <c r="E3" s="112" t="n">
        <v>0.2</v>
      </c>
      <c r="F3" s="113" t="s">
        <v>699</v>
      </c>
    </row>
    <row r="4" customFormat="false" ht="12.8" hidden="false" customHeight="false" outlineLevel="0" collapsed="false">
      <c r="A4" s="114" t="s">
        <v>694</v>
      </c>
      <c r="B4" s="114" t="s">
        <v>700</v>
      </c>
      <c r="C4" s="114" t="s">
        <v>695</v>
      </c>
      <c r="D4" s="114" t="s">
        <v>610</v>
      </c>
      <c r="E4" s="90" t="n">
        <v>50</v>
      </c>
      <c r="F4" s="114" t="s">
        <v>701</v>
      </c>
    </row>
    <row r="5" customFormat="false" ht="12.8" hidden="false" customHeight="false" outlineLevel="0" collapsed="false">
      <c r="A5" s="86" t="s">
        <v>698</v>
      </c>
      <c r="B5" s="86" t="s">
        <v>698</v>
      </c>
      <c r="C5" s="86" t="s">
        <v>695</v>
      </c>
      <c r="D5" s="86" t="s">
        <v>610</v>
      </c>
      <c r="E5" s="112" t="n">
        <v>0.75</v>
      </c>
      <c r="F5" s="86" t="s">
        <v>696</v>
      </c>
    </row>
    <row r="6" customFormat="false" ht="12.8" hidden="false" customHeight="false" outlineLevel="0" collapsed="false">
      <c r="A6" s="113" t="s">
        <v>698</v>
      </c>
      <c r="B6" s="113" t="s">
        <v>702</v>
      </c>
      <c r="C6" s="113" t="s">
        <v>695</v>
      </c>
      <c r="D6" s="113" t="s">
        <v>610</v>
      </c>
      <c r="E6" s="112" t="n">
        <v>0.2</v>
      </c>
      <c r="F6" s="113" t="s">
        <v>699</v>
      </c>
    </row>
    <row r="7" customFormat="false" ht="12.8" hidden="false" customHeight="false" outlineLevel="0" collapsed="false">
      <c r="A7" s="114" t="s">
        <v>698</v>
      </c>
      <c r="B7" s="114" t="s">
        <v>700</v>
      </c>
      <c r="C7" s="114" t="s">
        <v>695</v>
      </c>
      <c r="D7" s="114" t="s">
        <v>610</v>
      </c>
      <c r="E7" s="90" t="n">
        <v>50</v>
      </c>
      <c r="F7" s="114" t="s">
        <v>701</v>
      </c>
    </row>
    <row r="8" customFormat="false" ht="12.8" hidden="false" customHeight="false" outlineLevel="0" collapsed="false">
      <c r="A8" s="115" t="s">
        <v>703</v>
      </c>
      <c r="B8" s="115" t="s">
        <v>694</v>
      </c>
      <c r="C8" s="115" t="s">
        <v>695</v>
      </c>
      <c r="D8" s="115" t="s">
        <v>610</v>
      </c>
      <c r="E8" s="112" t="n">
        <v>0.08</v>
      </c>
      <c r="F8" s="115" t="s">
        <v>704</v>
      </c>
    </row>
    <row r="9" customFormat="false" ht="12.8" hidden="false" customHeight="false" outlineLevel="0" collapsed="false">
      <c r="A9" s="115" t="s">
        <v>703</v>
      </c>
      <c r="B9" s="115" t="s">
        <v>698</v>
      </c>
      <c r="C9" s="115" t="s">
        <v>695</v>
      </c>
      <c r="D9" s="115" t="s">
        <v>610</v>
      </c>
      <c r="E9" s="112" t="n">
        <v>0.08</v>
      </c>
      <c r="F9" s="115" t="s">
        <v>704</v>
      </c>
    </row>
    <row r="10" customFormat="false" ht="12.8" hidden="false" customHeight="false" outlineLevel="0" collapsed="false">
      <c r="A10" s="86" t="s">
        <v>703</v>
      </c>
      <c r="B10" s="86" t="s">
        <v>703</v>
      </c>
      <c r="C10" s="86" t="s">
        <v>695</v>
      </c>
      <c r="D10" s="86" t="s">
        <v>610</v>
      </c>
      <c r="E10" s="112" t="n">
        <v>0.6</v>
      </c>
      <c r="F10" s="86" t="s">
        <v>705</v>
      </c>
    </row>
    <row r="11" customFormat="false" ht="12.8" hidden="false" customHeight="false" outlineLevel="0" collapsed="false">
      <c r="A11" s="115" t="s">
        <v>703</v>
      </c>
      <c r="B11" s="115" t="s">
        <v>702</v>
      </c>
      <c r="C11" s="115" t="s">
        <v>695</v>
      </c>
      <c r="D11" s="115" t="s">
        <v>610</v>
      </c>
      <c r="E11" s="112" t="n">
        <v>0.08</v>
      </c>
      <c r="F11" s="115" t="s">
        <v>704</v>
      </c>
    </row>
    <row r="12" customFormat="false" ht="12.8" hidden="false" customHeight="false" outlineLevel="0" collapsed="false">
      <c r="A12" s="115" t="s">
        <v>703</v>
      </c>
      <c r="B12" s="115" t="s">
        <v>700</v>
      </c>
      <c r="C12" s="115" t="s">
        <v>695</v>
      </c>
      <c r="D12" s="115" t="s">
        <v>610</v>
      </c>
      <c r="E12" s="112" t="n">
        <v>0.08</v>
      </c>
      <c r="F12" s="115" t="s">
        <v>704</v>
      </c>
    </row>
    <row r="13" customFormat="false" ht="12.8" hidden="false" customHeight="false" outlineLevel="0" collapsed="false">
      <c r="A13" s="116" t="s">
        <v>702</v>
      </c>
      <c r="B13" s="116" t="s">
        <v>694</v>
      </c>
      <c r="C13" s="116" t="s">
        <v>695</v>
      </c>
      <c r="D13" s="116" t="s">
        <v>610</v>
      </c>
      <c r="E13" s="112" t="n">
        <v>0.2</v>
      </c>
      <c r="F13" s="113" t="s">
        <v>699</v>
      </c>
    </row>
    <row r="14" customFormat="false" ht="12.8" hidden="false" customHeight="false" outlineLevel="0" collapsed="false">
      <c r="A14" s="86" t="s">
        <v>702</v>
      </c>
      <c r="B14" s="86" t="s">
        <v>702</v>
      </c>
      <c r="C14" s="86" t="s">
        <v>695</v>
      </c>
      <c r="D14" s="86" t="s">
        <v>610</v>
      </c>
      <c r="E14" s="112" t="n">
        <v>0.75</v>
      </c>
      <c r="F14" s="86" t="s">
        <v>696</v>
      </c>
    </row>
    <row r="15" customFormat="false" ht="12.8" hidden="false" customHeight="false" outlineLevel="0" collapsed="false">
      <c r="A15" s="114" t="s">
        <v>702</v>
      </c>
      <c r="B15" s="114" t="s">
        <v>700</v>
      </c>
      <c r="C15" s="114" t="s">
        <v>695</v>
      </c>
      <c r="D15" s="114" t="s">
        <v>610</v>
      </c>
      <c r="E15" s="90" t="n">
        <v>50</v>
      </c>
      <c r="F15" s="114" t="s">
        <v>701</v>
      </c>
    </row>
    <row r="16" customFormat="false" ht="12.8" hidden="false" customHeight="false" outlineLevel="0" collapsed="false">
      <c r="A16" s="86" t="s">
        <v>700</v>
      </c>
      <c r="B16" s="86" t="s">
        <v>700</v>
      </c>
      <c r="C16" s="86" t="s">
        <v>695</v>
      </c>
      <c r="D16" s="86" t="s">
        <v>610</v>
      </c>
      <c r="E16" s="112" t="n">
        <v>0.75</v>
      </c>
      <c r="F16" s="86" t="s">
        <v>696</v>
      </c>
    </row>
    <row r="17" customFormat="false" ht="12.8" hidden="false" customHeight="false" outlineLevel="0" collapsed="false">
      <c r="A17" s="117" t="s">
        <v>706</v>
      </c>
      <c r="B17" s="117" t="s">
        <v>694</v>
      </c>
      <c r="C17" s="117" t="s">
        <v>695</v>
      </c>
      <c r="D17" s="117" t="s">
        <v>610</v>
      </c>
      <c r="E17" s="112" t="n">
        <v>0.2</v>
      </c>
      <c r="F17" s="117" t="s">
        <v>707</v>
      </c>
    </row>
    <row r="18" customFormat="false" ht="12.8" hidden="false" customHeight="false" outlineLevel="0" collapsed="false">
      <c r="A18" s="117" t="s">
        <v>706</v>
      </c>
      <c r="B18" s="117" t="s">
        <v>698</v>
      </c>
      <c r="C18" s="117" t="s">
        <v>695</v>
      </c>
      <c r="D18" s="117" t="s">
        <v>610</v>
      </c>
      <c r="E18" s="112" t="n">
        <v>0.2</v>
      </c>
      <c r="F18" s="117" t="s">
        <v>707</v>
      </c>
    </row>
    <row r="19" customFormat="false" ht="12.8" hidden="false" customHeight="false" outlineLevel="0" collapsed="false">
      <c r="A19" s="118" t="s">
        <v>706</v>
      </c>
      <c r="B19" s="118" t="s">
        <v>703</v>
      </c>
      <c r="C19" s="118" t="s">
        <v>695</v>
      </c>
      <c r="D19" s="118" t="s">
        <v>610</v>
      </c>
      <c r="E19" s="119" t="n">
        <v>0.1</v>
      </c>
      <c r="F19" s="118" t="s">
        <v>704</v>
      </c>
    </row>
    <row r="20" customFormat="false" ht="12.8" hidden="false" customHeight="false" outlineLevel="0" collapsed="false">
      <c r="A20" s="117" t="s">
        <v>706</v>
      </c>
      <c r="B20" s="117" t="s">
        <v>702</v>
      </c>
      <c r="C20" s="117" t="s">
        <v>695</v>
      </c>
      <c r="D20" s="117" t="s">
        <v>610</v>
      </c>
      <c r="E20" s="112" t="n">
        <v>0.2</v>
      </c>
      <c r="F20" s="117" t="s">
        <v>707</v>
      </c>
    </row>
    <row r="21" customFormat="false" ht="12.8" hidden="false" customHeight="false" outlineLevel="0" collapsed="false">
      <c r="A21" s="117" t="s">
        <v>706</v>
      </c>
      <c r="B21" s="117" t="s">
        <v>700</v>
      </c>
      <c r="C21" s="117" t="s">
        <v>695</v>
      </c>
      <c r="D21" s="117" t="s">
        <v>610</v>
      </c>
      <c r="E21" s="112" t="n">
        <v>0.2</v>
      </c>
      <c r="F21" s="117" t="s">
        <v>707</v>
      </c>
    </row>
    <row r="22" customFormat="false" ht="12.8" hidden="false" customHeight="false" outlineLevel="0" collapsed="false">
      <c r="A22" s="86" t="s">
        <v>706</v>
      </c>
      <c r="B22" s="86" t="s">
        <v>706</v>
      </c>
      <c r="C22" s="86" t="s">
        <v>695</v>
      </c>
      <c r="D22" s="86" t="s">
        <v>610</v>
      </c>
      <c r="E22" s="107" t="n">
        <v>0.15</v>
      </c>
      <c r="F22" s="86" t="s">
        <v>708</v>
      </c>
    </row>
    <row r="23" customFormat="false" ht="12.8" hidden="false" customHeight="false" outlineLevel="0" collapsed="false">
      <c r="A23" s="120" t="s">
        <v>709</v>
      </c>
      <c r="B23" s="120" t="s">
        <v>694</v>
      </c>
      <c r="C23" s="120" t="s">
        <v>695</v>
      </c>
      <c r="D23" s="120" t="s">
        <v>610</v>
      </c>
      <c r="E23" s="112" t="n">
        <v>-0.2</v>
      </c>
      <c r="F23" s="120" t="s">
        <v>710</v>
      </c>
    </row>
    <row r="24" customFormat="false" ht="12.8" hidden="false" customHeight="false" outlineLevel="0" collapsed="false">
      <c r="A24" s="120" t="s">
        <v>709</v>
      </c>
      <c r="B24" s="120" t="s">
        <v>698</v>
      </c>
      <c r="C24" s="120" t="s">
        <v>695</v>
      </c>
      <c r="D24" s="120" t="s">
        <v>610</v>
      </c>
      <c r="E24" s="112" t="n">
        <v>-0.2</v>
      </c>
      <c r="F24" s="120" t="s">
        <v>710</v>
      </c>
    </row>
    <row r="25" customFormat="false" ht="12.8" hidden="false" customHeight="false" outlineLevel="0" collapsed="false">
      <c r="A25" s="86" t="s">
        <v>709</v>
      </c>
      <c r="B25" s="86" t="s">
        <v>703</v>
      </c>
      <c r="C25" s="86" t="s">
        <v>695</v>
      </c>
      <c r="D25" s="86" t="s">
        <v>610</v>
      </c>
      <c r="E25" s="90" t="n">
        <v>1</v>
      </c>
      <c r="F25" s="86" t="s">
        <v>711</v>
      </c>
    </row>
    <row r="26" customFormat="false" ht="12.8" hidden="false" customHeight="false" outlineLevel="0" collapsed="false">
      <c r="A26" s="120" t="s">
        <v>709</v>
      </c>
      <c r="B26" s="120" t="s">
        <v>702</v>
      </c>
      <c r="C26" s="120" t="s">
        <v>695</v>
      </c>
      <c r="D26" s="120" t="s">
        <v>610</v>
      </c>
      <c r="E26" s="112" t="n">
        <v>-0.2</v>
      </c>
      <c r="F26" s="120" t="s">
        <v>710</v>
      </c>
    </row>
    <row r="27" customFormat="false" ht="12.8" hidden="false" customHeight="false" outlineLevel="0" collapsed="false">
      <c r="A27" s="86" t="s">
        <v>709</v>
      </c>
      <c r="B27" s="86" t="s">
        <v>700</v>
      </c>
      <c r="C27" s="86" t="s">
        <v>695</v>
      </c>
      <c r="D27" s="86" t="s">
        <v>610</v>
      </c>
      <c r="E27" s="90" t="n">
        <v>1</v>
      </c>
      <c r="F27" s="86" t="s">
        <v>712</v>
      </c>
    </row>
    <row r="28" customFormat="false" ht="12.8" hidden="false" customHeight="false" outlineLevel="0" collapsed="false">
      <c r="A28" s="86" t="s">
        <v>709</v>
      </c>
      <c r="B28" s="86" t="s">
        <v>706</v>
      </c>
      <c r="C28" s="86" t="s">
        <v>695</v>
      </c>
      <c r="D28" s="86" t="s">
        <v>610</v>
      </c>
      <c r="E28" s="90" t="n">
        <v>1</v>
      </c>
      <c r="F28" s="86" t="s">
        <v>713</v>
      </c>
    </row>
    <row r="29" customFormat="false" ht="12.8" hidden="false" customHeight="false" outlineLevel="0" collapsed="false">
      <c r="A29" s="86" t="s">
        <v>709</v>
      </c>
      <c r="B29" s="86" t="s">
        <v>709</v>
      </c>
      <c r="C29" s="86" t="s">
        <v>695</v>
      </c>
      <c r="D29" s="86" t="s">
        <v>610</v>
      </c>
      <c r="E29" s="90" t="n">
        <v>1</v>
      </c>
      <c r="F29" s="86" t="s">
        <v>714</v>
      </c>
    </row>
    <row r="31" customFormat="false" ht="12.8" hidden="false" customHeight="false" outlineLevel="0" collapsed="false">
      <c r="D31" s="9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6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O46" activeCellId="0" sqref="L46:O4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.4"/>
    <col collapsed="false" customWidth="true" hidden="false" outlineLevel="0" max="3" min="3" style="1" width="18.58"/>
    <col collapsed="false" customWidth="true" hidden="false" outlineLevel="0" max="5" min="4" style="1" width="3.4"/>
    <col collapsed="false" customWidth="true" hidden="false" outlineLevel="0" max="7" min="7" style="1" width="32.24"/>
    <col collapsed="false" customWidth="true" hidden="false" outlineLevel="0" max="10" min="8" style="1" width="3.79"/>
    <col collapsed="false" customWidth="true" hidden="false" outlineLevel="0" max="12" min="12" style="1" width="29.75"/>
    <col collapsed="false" customWidth="true" hidden="false" outlineLevel="0" max="15" min="13" style="1" width="4.66"/>
    <col collapsed="false" customWidth="true" hidden="false" outlineLevel="0" max="19" min="17" style="1" width="4.66"/>
  </cols>
  <sheetData>
    <row r="2" customFormat="false" ht="12.8" hidden="false" customHeight="false" outlineLevel="0" collapsed="false">
      <c r="A2" s="1" t="s">
        <v>715</v>
      </c>
      <c r="G2" s="1" t="s">
        <v>716</v>
      </c>
    </row>
    <row r="4" customFormat="false" ht="12.8" hidden="false" customHeight="false" outlineLevel="0" collapsed="false">
      <c r="A4" s="121"/>
      <c r="B4" s="1" t="n">
        <v>10</v>
      </c>
      <c r="C4" s="50" t="s">
        <v>717</v>
      </c>
      <c r="D4" s="1" t="n">
        <v>10</v>
      </c>
      <c r="E4" s="1" t="n">
        <f aca="false">B4-D4</f>
        <v>0</v>
      </c>
      <c r="G4" s="1" t="s">
        <v>718</v>
      </c>
      <c r="H4" s="122"/>
      <c r="I4" s="122"/>
      <c r="J4" s="122"/>
      <c r="L4" s="1" t="s">
        <v>718</v>
      </c>
      <c r="M4" s="122"/>
      <c r="N4" s="122"/>
      <c r="O4" s="122"/>
      <c r="Q4" s="122"/>
      <c r="R4" s="122"/>
      <c r="S4" s="122"/>
    </row>
    <row r="5" customFormat="false" ht="12.8" hidden="false" customHeight="false" outlineLevel="0" collapsed="false">
      <c r="A5" s="123"/>
      <c r="B5" s="1" t="n">
        <v>25</v>
      </c>
      <c r="C5" s="50" t="s">
        <v>719</v>
      </c>
      <c r="D5" s="1" t="n">
        <v>25</v>
      </c>
      <c r="E5" s="1" t="n">
        <f aca="false">B5-D5</f>
        <v>0</v>
      </c>
      <c r="G5" s="1" t="s">
        <v>720</v>
      </c>
      <c r="H5" s="122"/>
      <c r="I5" s="123"/>
      <c r="J5" s="122"/>
      <c r="L5" s="1" t="s">
        <v>720</v>
      </c>
      <c r="M5" s="122"/>
      <c r="N5" s="123"/>
      <c r="O5" s="122"/>
      <c r="Q5" s="122"/>
      <c r="R5" s="122"/>
      <c r="S5" s="123"/>
    </row>
    <row r="6" customFormat="false" ht="12.8" hidden="false" customHeight="false" outlineLevel="0" collapsed="false">
      <c r="A6" s="122"/>
      <c r="B6" s="1" t="n">
        <v>34</v>
      </c>
      <c r="C6" s="50" t="s">
        <v>721</v>
      </c>
      <c r="D6" s="1" t="n">
        <v>34</v>
      </c>
      <c r="E6" s="1" t="n">
        <f aca="false">B6-D6</f>
        <v>0</v>
      </c>
      <c r="G6" s="1" t="s">
        <v>722</v>
      </c>
      <c r="H6" s="122"/>
      <c r="I6" s="121"/>
      <c r="J6" s="122"/>
      <c r="L6" s="1" t="s">
        <v>722</v>
      </c>
      <c r="M6" s="122"/>
      <c r="N6" s="121"/>
      <c r="O6" s="122"/>
      <c r="Q6" s="122"/>
      <c r="R6" s="122"/>
      <c r="S6" s="121"/>
    </row>
    <row r="7" customFormat="false" ht="12.8" hidden="false" customHeight="false" outlineLevel="0" collapsed="false">
      <c r="G7" s="1" t="s">
        <v>723</v>
      </c>
      <c r="H7" s="123"/>
      <c r="I7" s="122"/>
      <c r="J7" s="123"/>
      <c r="L7" s="1" t="s">
        <v>724</v>
      </c>
      <c r="M7" s="123"/>
      <c r="N7" s="123"/>
      <c r="O7" s="123"/>
      <c r="Q7" s="123"/>
      <c r="R7" s="123"/>
      <c r="S7" s="123"/>
    </row>
    <row r="8" customFormat="false" ht="12.8" hidden="false" customHeight="false" outlineLevel="0" collapsed="false">
      <c r="G8" s="1" t="s">
        <v>725</v>
      </c>
      <c r="H8" s="121"/>
      <c r="I8" s="123"/>
      <c r="J8" s="122"/>
      <c r="L8" s="1" t="s">
        <v>723</v>
      </c>
      <c r="M8" s="123"/>
      <c r="N8" s="122"/>
      <c r="O8" s="123"/>
      <c r="Q8" s="123"/>
      <c r="R8" s="123"/>
      <c r="S8" s="122"/>
    </row>
    <row r="9" customFormat="false" ht="12.8" hidden="false" customHeight="false" outlineLevel="0" collapsed="false">
      <c r="G9" s="1" t="s">
        <v>726</v>
      </c>
      <c r="H9" s="121"/>
      <c r="I9" s="122"/>
      <c r="J9" s="121"/>
      <c r="L9" s="1" t="s">
        <v>727</v>
      </c>
      <c r="M9" s="123"/>
      <c r="N9" s="121"/>
      <c r="O9" s="123"/>
      <c r="Q9" s="123"/>
      <c r="R9" s="123"/>
      <c r="S9" s="121"/>
    </row>
    <row r="10" customFormat="false" ht="12.8" hidden="false" customHeight="false" outlineLevel="0" collapsed="false">
      <c r="G10" s="1" t="s">
        <v>724</v>
      </c>
      <c r="H10" s="123"/>
      <c r="I10" s="123"/>
      <c r="J10" s="123"/>
      <c r="L10" s="1" t="s">
        <v>728</v>
      </c>
      <c r="M10" s="121"/>
      <c r="N10" s="121"/>
      <c r="O10" s="121"/>
      <c r="Q10" s="121"/>
      <c r="R10" s="121"/>
      <c r="S10" s="121"/>
    </row>
    <row r="11" customFormat="false" ht="12.8" hidden="false" customHeight="false" outlineLevel="0" collapsed="false">
      <c r="G11" s="1" t="s">
        <v>727</v>
      </c>
      <c r="H11" s="123"/>
      <c r="I11" s="121"/>
      <c r="J11" s="123"/>
      <c r="L11" s="1" t="s">
        <v>729</v>
      </c>
      <c r="M11" s="121"/>
      <c r="N11" s="123"/>
      <c r="O11" s="121"/>
      <c r="Q11" s="121"/>
      <c r="R11" s="121"/>
      <c r="S11" s="123"/>
    </row>
    <row r="12" customFormat="false" ht="12.8" hidden="false" customHeight="false" outlineLevel="0" collapsed="false">
      <c r="G12" s="1" t="s">
        <v>729</v>
      </c>
      <c r="H12" s="121"/>
      <c r="I12" s="123"/>
      <c r="J12" s="121"/>
      <c r="L12" s="1" t="s">
        <v>726</v>
      </c>
      <c r="M12" s="121"/>
      <c r="N12" s="122"/>
      <c r="O12" s="121"/>
      <c r="Q12" s="121"/>
      <c r="R12" s="121"/>
      <c r="S12" s="122"/>
    </row>
    <row r="13" customFormat="false" ht="12.8" hidden="false" customHeight="false" outlineLevel="0" collapsed="false">
      <c r="G13" s="1" t="s">
        <v>728</v>
      </c>
      <c r="H13" s="121"/>
      <c r="I13" s="121"/>
      <c r="J13" s="121"/>
      <c r="L13" s="1" t="s">
        <v>725</v>
      </c>
      <c r="M13" s="121"/>
      <c r="N13" s="123"/>
      <c r="O13" s="122"/>
      <c r="Q13" s="121"/>
      <c r="R13" s="123"/>
      <c r="S13" s="122"/>
    </row>
    <row r="17" customFormat="false" ht="12.8" hidden="false" customHeight="false" outlineLevel="0" collapsed="false">
      <c r="G17" s="1" t="s">
        <v>727</v>
      </c>
      <c r="H17" s="123"/>
      <c r="I17" s="121"/>
      <c r="J17" s="123"/>
    </row>
    <row r="18" customFormat="false" ht="12.8" hidden="false" customHeight="false" outlineLevel="0" collapsed="false">
      <c r="G18" s="1" t="s">
        <v>727</v>
      </c>
      <c r="H18" s="123"/>
      <c r="I18" s="121"/>
      <c r="J18" s="123"/>
    </row>
    <row r="19" customFormat="false" ht="12.8" hidden="false" customHeight="false" outlineLevel="0" collapsed="false">
      <c r="G19" s="1" t="s">
        <v>723</v>
      </c>
      <c r="H19" s="123"/>
      <c r="I19" s="122"/>
      <c r="J19" s="123"/>
    </row>
    <row r="20" customFormat="false" ht="12.8" hidden="false" customHeight="false" outlineLevel="0" collapsed="false">
      <c r="G20" s="1" t="s">
        <v>723</v>
      </c>
      <c r="H20" s="123"/>
      <c r="I20" s="122"/>
      <c r="J20" s="123"/>
    </row>
    <row r="21" customFormat="false" ht="12.8" hidden="false" customHeight="false" outlineLevel="0" collapsed="false">
      <c r="G21" s="1" t="s">
        <v>723</v>
      </c>
      <c r="H21" s="123"/>
      <c r="I21" s="122"/>
      <c r="J21" s="123"/>
    </row>
    <row r="22" customFormat="false" ht="12.8" hidden="false" customHeight="false" outlineLevel="0" collapsed="false">
      <c r="G22" s="1" t="s">
        <v>723</v>
      </c>
      <c r="H22" s="123"/>
      <c r="I22" s="122"/>
      <c r="J22" s="123"/>
    </row>
    <row r="23" customFormat="false" ht="12.8" hidden="false" customHeight="false" outlineLevel="0" collapsed="false">
      <c r="G23" s="1" t="s">
        <v>723</v>
      </c>
      <c r="H23" s="123"/>
      <c r="I23" s="122"/>
      <c r="J23" s="123"/>
    </row>
    <row r="24" customFormat="false" ht="12.8" hidden="false" customHeight="false" outlineLevel="0" collapsed="false">
      <c r="G24" s="1" t="s">
        <v>723</v>
      </c>
      <c r="H24" s="123"/>
      <c r="I24" s="122"/>
      <c r="J24" s="123"/>
    </row>
    <row r="25" customFormat="false" ht="12.8" hidden="false" customHeight="false" outlineLevel="0" collapsed="false">
      <c r="G25" s="1" t="s">
        <v>723</v>
      </c>
      <c r="H25" s="123"/>
      <c r="I25" s="122"/>
      <c r="J25" s="123"/>
    </row>
    <row r="26" customFormat="false" ht="12.8" hidden="false" customHeight="false" outlineLevel="0" collapsed="false">
      <c r="G26" s="1" t="s">
        <v>723</v>
      </c>
      <c r="H26" s="123"/>
      <c r="I26" s="122"/>
      <c r="J26" s="123"/>
    </row>
    <row r="27" customFormat="false" ht="12.8" hidden="false" customHeight="false" outlineLevel="0" collapsed="false">
      <c r="G27" s="1" t="s">
        <v>723</v>
      </c>
      <c r="H27" s="123"/>
      <c r="I27" s="122"/>
      <c r="J27" s="123"/>
    </row>
    <row r="28" customFormat="false" ht="12.8" hidden="false" customHeight="false" outlineLevel="0" collapsed="false">
      <c r="G28" s="1" t="s">
        <v>723</v>
      </c>
      <c r="H28" s="123"/>
      <c r="I28" s="122"/>
      <c r="J28" s="123"/>
    </row>
    <row r="29" customFormat="false" ht="12.8" hidden="false" customHeight="false" outlineLevel="0" collapsed="false">
      <c r="G29" s="1" t="s">
        <v>725</v>
      </c>
      <c r="H29" s="121"/>
      <c r="I29" s="123"/>
      <c r="J29" s="122"/>
    </row>
    <row r="30" customFormat="false" ht="12.8" hidden="false" customHeight="false" outlineLevel="0" collapsed="false">
      <c r="G30" s="1" t="s">
        <v>722</v>
      </c>
      <c r="H30" s="122"/>
      <c r="I30" s="121"/>
      <c r="J30" s="122"/>
    </row>
    <row r="31" customFormat="false" ht="12.8" hidden="false" customHeight="false" outlineLevel="0" collapsed="false">
      <c r="G31" s="1" t="s">
        <v>722</v>
      </c>
      <c r="H31" s="122"/>
      <c r="I31" s="121"/>
      <c r="J31" s="122"/>
    </row>
    <row r="32" customFormat="false" ht="12.8" hidden="false" customHeight="false" outlineLevel="0" collapsed="false">
      <c r="G32" s="1" t="s">
        <v>722</v>
      </c>
      <c r="H32" s="122"/>
      <c r="I32" s="121"/>
      <c r="J32" s="122"/>
    </row>
    <row r="33" customFormat="false" ht="12.8" hidden="false" customHeight="false" outlineLevel="0" collapsed="false">
      <c r="G33" s="1" t="s">
        <v>722</v>
      </c>
      <c r="H33" s="122"/>
      <c r="I33" s="121"/>
      <c r="J33" s="122"/>
    </row>
    <row r="34" customFormat="false" ht="12.8" hidden="false" customHeight="false" outlineLevel="0" collapsed="false">
      <c r="G34" s="1" t="s">
        <v>722</v>
      </c>
      <c r="H34" s="122"/>
      <c r="I34" s="121"/>
      <c r="J34" s="122"/>
    </row>
    <row r="35" customFormat="false" ht="12.8" hidden="false" customHeight="false" outlineLevel="0" collapsed="false">
      <c r="G35" s="1" t="s">
        <v>722</v>
      </c>
      <c r="H35" s="122"/>
      <c r="I35" s="121"/>
      <c r="J35" s="122"/>
    </row>
    <row r="36" customFormat="false" ht="12.8" hidden="false" customHeight="false" outlineLevel="0" collapsed="false">
      <c r="G36" s="1" t="s">
        <v>722</v>
      </c>
      <c r="H36" s="122"/>
      <c r="I36" s="121"/>
      <c r="J36" s="122"/>
    </row>
    <row r="37" customFormat="false" ht="12.8" hidden="false" customHeight="false" outlineLevel="0" collapsed="false">
      <c r="G37" s="1" t="s">
        <v>718</v>
      </c>
      <c r="H37" s="122"/>
      <c r="I37" s="122"/>
      <c r="J37" s="122"/>
    </row>
    <row r="38" customFormat="false" ht="12.8" hidden="false" customHeight="false" outlineLevel="0" collapsed="false">
      <c r="G38" s="1" t="s">
        <v>718</v>
      </c>
      <c r="H38" s="122"/>
      <c r="I38" s="122"/>
      <c r="J38" s="122"/>
    </row>
    <row r="39" customFormat="false" ht="12.8" hidden="false" customHeight="false" outlineLevel="0" collapsed="false">
      <c r="G39" s="1" t="s">
        <v>718</v>
      </c>
      <c r="H39" s="122"/>
      <c r="I39" s="122"/>
      <c r="J39" s="122"/>
    </row>
    <row r="42" customFormat="false" ht="12.8" hidden="false" customHeight="false" outlineLevel="0" collapsed="false">
      <c r="G42" s="1" t="s">
        <v>723</v>
      </c>
      <c r="H42" s="123"/>
      <c r="I42" s="123"/>
      <c r="J42" s="122"/>
      <c r="L42" s="1" t="s">
        <v>724</v>
      </c>
      <c r="M42" s="123"/>
      <c r="N42" s="123"/>
      <c r="O42" s="123"/>
    </row>
    <row r="43" customFormat="false" ht="12.8" hidden="false" customHeight="false" outlineLevel="0" collapsed="false">
      <c r="G43" s="1" t="s">
        <v>723</v>
      </c>
      <c r="H43" s="123"/>
      <c r="I43" s="123"/>
      <c r="J43" s="122"/>
      <c r="L43" s="1" t="s">
        <v>723</v>
      </c>
      <c r="M43" s="123"/>
      <c r="N43" s="123"/>
      <c r="O43" s="124"/>
    </row>
    <row r="44" customFormat="false" ht="12.8" hidden="false" customHeight="false" outlineLevel="0" collapsed="false">
      <c r="G44" s="1" t="s">
        <v>723</v>
      </c>
      <c r="H44" s="123"/>
      <c r="I44" s="123"/>
      <c r="J44" s="122"/>
      <c r="L44" s="1" t="s">
        <v>727</v>
      </c>
      <c r="M44" s="123"/>
      <c r="N44" s="123"/>
      <c r="O44" s="121"/>
    </row>
    <row r="45" customFormat="false" ht="12.8" hidden="false" customHeight="false" outlineLevel="0" collapsed="false">
      <c r="G45" s="1" t="s">
        <v>723</v>
      </c>
      <c r="H45" s="123"/>
      <c r="I45" s="123"/>
      <c r="J45" s="122"/>
      <c r="L45" s="1" t="s">
        <v>718</v>
      </c>
      <c r="M45" s="122"/>
      <c r="N45" s="122"/>
      <c r="O45" s="122"/>
    </row>
    <row r="46" customFormat="false" ht="12.8" hidden="false" customHeight="false" outlineLevel="0" collapsed="false">
      <c r="G46" s="1" t="s">
        <v>723</v>
      </c>
      <c r="H46" s="123"/>
      <c r="I46" s="123"/>
      <c r="J46" s="122"/>
      <c r="L46" s="1" t="s">
        <v>720</v>
      </c>
      <c r="M46" s="122"/>
      <c r="N46" s="122"/>
      <c r="O46" s="123"/>
    </row>
    <row r="47" customFormat="false" ht="12.8" hidden="false" customHeight="false" outlineLevel="0" collapsed="false">
      <c r="G47" s="1" t="s">
        <v>723</v>
      </c>
      <c r="H47" s="123"/>
      <c r="I47" s="123"/>
      <c r="J47" s="122"/>
      <c r="L47" s="1" t="s">
        <v>722</v>
      </c>
      <c r="M47" s="122"/>
      <c r="N47" s="122"/>
      <c r="O47" s="121"/>
    </row>
    <row r="48" customFormat="false" ht="12.8" hidden="false" customHeight="false" outlineLevel="0" collapsed="false">
      <c r="G48" s="1" t="s">
        <v>723</v>
      </c>
      <c r="H48" s="123"/>
      <c r="I48" s="123"/>
      <c r="J48" s="122"/>
      <c r="L48" s="1" t="s">
        <v>728</v>
      </c>
      <c r="M48" s="121"/>
      <c r="N48" s="121"/>
      <c r="O48" s="121"/>
    </row>
    <row r="49" customFormat="false" ht="12.8" hidden="false" customHeight="false" outlineLevel="0" collapsed="false">
      <c r="G49" s="1" t="s">
        <v>723</v>
      </c>
      <c r="H49" s="123"/>
      <c r="I49" s="123"/>
      <c r="J49" s="122"/>
      <c r="L49" s="1" t="s">
        <v>729</v>
      </c>
      <c r="M49" s="121"/>
      <c r="N49" s="121"/>
      <c r="O49" s="123"/>
    </row>
    <row r="50" customFormat="false" ht="12.8" hidden="false" customHeight="false" outlineLevel="0" collapsed="false">
      <c r="G50" s="1" t="s">
        <v>723</v>
      </c>
      <c r="H50" s="123"/>
      <c r="I50" s="123"/>
      <c r="J50" s="122"/>
      <c r="L50" s="1" t="s">
        <v>726</v>
      </c>
      <c r="M50" s="121"/>
      <c r="N50" s="121"/>
      <c r="O50" s="122"/>
    </row>
    <row r="51" customFormat="false" ht="12.8" hidden="false" customHeight="false" outlineLevel="0" collapsed="false">
      <c r="G51" s="1" t="s">
        <v>723</v>
      </c>
      <c r="H51" s="123"/>
      <c r="I51" s="123"/>
      <c r="J51" s="122"/>
      <c r="L51" s="1" t="s">
        <v>725</v>
      </c>
      <c r="M51" s="122"/>
      <c r="N51" s="123"/>
      <c r="O51" s="121"/>
    </row>
    <row r="52" customFormat="false" ht="12.8" hidden="false" customHeight="false" outlineLevel="0" collapsed="false">
      <c r="G52" s="1" t="s">
        <v>727</v>
      </c>
      <c r="H52" s="123"/>
      <c r="I52" s="123"/>
      <c r="J52" s="121"/>
    </row>
    <row r="53" customFormat="false" ht="12.8" hidden="false" customHeight="false" outlineLevel="0" collapsed="false">
      <c r="G53" s="1" t="s">
        <v>727</v>
      </c>
      <c r="H53" s="123"/>
      <c r="I53" s="123"/>
      <c r="J53" s="121"/>
    </row>
    <row r="54" customFormat="false" ht="12.8" hidden="false" customHeight="false" outlineLevel="0" collapsed="false">
      <c r="G54" s="1" t="s">
        <v>725</v>
      </c>
      <c r="H54" s="123"/>
      <c r="I54" s="121"/>
      <c r="J54" s="122"/>
    </row>
    <row r="57" customFormat="false" ht="12.8" hidden="false" customHeight="false" outlineLevel="0" collapsed="false">
      <c r="G57" s="1" t="s">
        <v>727</v>
      </c>
      <c r="H57" s="123"/>
      <c r="I57" s="123"/>
      <c r="J57" s="121"/>
    </row>
    <row r="58" customFormat="false" ht="12.8" hidden="false" customHeight="false" outlineLevel="0" collapsed="false">
      <c r="G58" s="1" t="s">
        <v>727</v>
      </c>
      <c r="H58" s="123"/>
      <c r="I58" s="123"/>
      <c r="J58" s="121"/>
    </row>
    <row r="59" customFormat="false" ht="12.8" hidden="false" customHeight="false" outlineLevel="0" collapsed="false">
      <c r="G59" s="1" t="s">
        <v>727</v>
      </c>
      <c r="H59" s="123"/>
      <c r="I59" s="123"/>
      <c r="J59" s="121"/>
    </row>
    <row r="60" customFormat="false" ht="12.8" hidden="false" customHeight="false" outlineLevel="0" collapsed="false">
      <c r="G60" s="1" t="s">
        <v>727</v>
      </c>
      <c r="H60" s="123"/>
      <c r="I60" s="123"/>
      <c r="J60" s="121"/>
    </row>
    <row r="61" customFormat="false" ht="12.8" hidden="false" customHeight="false" outlineLevel="0" collapsed="false">
      <c r="G61" s="1" t="s">
        <v>727</v>
      </c>
      <c r="H61" s="123"/>
      <c r="I61" s="123"/>
      <c r="J61" s="121"/>
    </row>
    <row r="62" customFormat="false" ht="12.8" hidden="false" customHeight="false" outlineLevel="0" collapsed="false">
      <c r="G62" s="1" t="s">
        <v>727</v>
      </c>
      <c r="H62" s="123"/>
      <c r="I62" s="123"/>
      <c r="J62" s="121"/>
    </row>
    <row r="63" customFormat="false" ht="12.8" hidden="false" customHeight="false" outlineLevel="0" collapsed="false">
      <c r="G63" s="1" t="s">
        <v>727</v>
      </c>
      <c r="H63" s="123"/>
      <c r="I63" s="123"/>
      <c r="J63" s="121"/>
    </row>
    <row r="64" customFormat="false" ht="12.8" hidden="false" customHeight="false" outlineLevel="0" collapsed="false">
      <c r="G64" s="1" t="s">
        <v>727</v>
      </c>
      <c r="H64" s="123"/>
      <c r="I64" s="123"/>
      <c r="J64" s="121"/>
    </row>
    <row r="65" customFormat="false" ht="12.8" hidden="false" customHeight="false" outlineLevel="0" collapsed="false">
      <c r="G65" s="1" t="s">
        <v>727</v>
      </c>
      <c r="H65" s="123"/>
      <c r="I65" s="123"/>
      <c r="J65" s="121"/>
    </row>
    <row r="66" customFormat="false" ht="12.8" hidden="false" customHeight="false" outlineLevel="0" collapsed="false">
      <c r="G66" s="1" t="s">
        <v>727</v>
      </c>
      <c r="H66" s="123"/>
      <c r="I66" s="123"/>
      <c r="J66" s="12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16263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2020-01-16T21:54:32Z</dcterms:created>
  <dc:creator/>
  <dc:description/>
  <dc:language>es-CL</dc:language>
  <cp:lastModifiedBy/>
  <dcterms:modified xsi:type="dcterms:W3CDTF">2025-12-29T22:29:54Z</dcterms:modified>
  <cp:revision>555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